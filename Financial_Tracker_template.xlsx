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dvisor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Savings" sheetId="5" state="visible" r:id="rId5"/>
    <sheet xmlns:r="http://schemas.openxmlformats.org/officeDocument/2006/relationships" name="Assets" sheetId="6" state="visible" r:id="rId6"/>
    <sheet xmlns:r="http://schemas.openxmlformats.org/officeDocument/2006/relationships" name="Budget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"/>
    <numFmt numFmtId="167" formatCode="0&quot; / 100&quot;"/>
  </numFmts>
  <fonts count="2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2"/>
    </font>
    <font>
      <name val="Calibri"/>
      <b val="1"/>
      <color rgb="001F4E79"/>
      <sz val="11"/>
    </font>
    <font>
      <b val="1"/>
      <color rgb="00C00000"/>
      <sz val="12"/>
    </font>
    <font>
      <b val="1"/>
    </font>
    <font>
      <name val="Calibri"/>
      <b val="1"/>
      <color rgb="001F4E79"/>
      <sz val="18"/>
    </font>
    <font>
      <name val="Calibri"/>
      <b val="1"/>
      <color rgb="00FFFFFF"/>
      <sz val="13"/>
    </font>
    <font>
      <name val="Calibri"/>
      <b val="1"/>
      <sz val="12"/>
    </font>
    <font>
      <name val="Calibri"/>
      <b val="1"/>
      <color rgb="00375623"/>
      <sz val="12"/>
    </font>
    <font>
      <name val="Calibri"/>
      <b val="1"/>
      <color rgb="00375623"/>
      <sz val="14"/>
    </font>
    <font>
      <name val="Calibri"/>
      <sz val="11"/>
    </font>
    <font>
      <name val="Calibri"/>
      <b val="1"/>
      <color rgb="00375623"/>
      <sz val="18"/>
    </font>
    <font>
      <name val="Calibri"/>
      <i val="1"/>
      <color rgb="00404040"/>
      <sz val="10"/>
    </font>
    <font>
      <name val="Calibri"/>
      <b val="1"/>
      <sz val="11"/>
    </font>
    <font>
      <name val="Calibri"/>
      <i val="1"/>
      <sz val="10"/>
    </font>
    <font>
      <name val="Calibri"/>
      <b val="1"/>
      <color rgb="00375623"/>
      <sz val="13"/>
    </font>
    <font>
      <name val="Calibri"/>
      <b val="1"/>
      <color rgb="00375623"/>
      <sz val="16"/>
    </font>
    <font>
      <name val="Calibri"/>
      <b val="1"/>
      <sz val="13"/>
    </font>
    <font>
      <b val="1"/>
      <sz val="12"/>
    </font>
    <font>
      <name val="Calibri"/>
      <sz val="10"/>
    </font>
    <font>
      <name val="Calibri"/>
      <b val="1"/>
      <color rgb="00548235"/>
      <sz val="10"/>
    </font>
    <font>
      <b val="1"/>
      <color rgb="007030A0"/>
    </font>
    <font>
      <name val="Calibri"/>
      <i val="1"/>
      <color rgb="00C00000"/>
      <sz val="10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375623"/>
        <bgColor rgb="00375623"/>
      </patternFill>
    </fill>
    <fill>
      <patternFill patternType="solid">
        <fgColor rgb="00FFF2CC"/>
        <bgColor rgb="00FFF2CC"/>
      </patternFill>
    </fill>
    <fill>
      <patternFill patternType="solid">
        <fgColor rgb="007030A0"/>
        <bgColor rgb="007030A0"/>
      </patternFill>
    </fill>
    <fill>
      <patternFill patternType="solid">
        <fgColor rgb="00E2D0F0"/>
        <bgColor rgb="00E2D0F0"/>
      </patternFill>
    </fill>
    <fill>
      <patternFill patternType="solid">
        <fgColor rgb="00C00000"/>
        <bgColor rgb="00C00000"/>
      </patternFill>
    </fill>
    <fill>
      <patternFill patternType="solid">
        <fgColor rgb="00FBE5D6"/>
        <bgColor rgb="00FBE5D6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375623"/>
      </left>
      <right style="medium">
        <color rgb="00375623"/>
      </right>
      <top style="medium">
        <color rgb="00375623"/>
      </top>
      <bottom style="medium">
        <color rgb="00375623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8" fillId="0" borderId="1" pivotButton="0" quotePrefix="0" xfId="0"/>
    <xf numFmtId="0" fontId="0" fillId="0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3" fillId="6" borderId="1" pivotButton="0" quotePrefix="0" xfId="0"/>
    <xf numFmtId="3" fontId="8" fillId="6" borderId="1" pivotButton="0" quotePrefix="0" xfId="0"/>
    <xf numFmtId="0" fontId="0" fillId="6" borderId="1" pivotButton="0" quotePrefix="0" xfId="0"/>
    <xf numFmtId="3" fontId="0" fillId="0" borderId="1" pivotButton="0" quotePrefix="0" xfId="0"/>
    <xf numFmtId="0" fontId="9" fillId="6" borderId="1" pivotButton="0" quotePrefix="0" xfId="0"/>
    <xf numFmtId="3" fontId="10" fillId="6" borderId="1" pivotButton="0" quotePrefix="0" xfId="0"/>
    <xf numFmtId="0" fontId="11" fillId="5" borderId="1" pivotButton="0" quotePrefix="0" xfId="0"/>
    <xf numFmtId="165" fontId="0" fillId="5" borderId="1" pivotButton="0" quotePrefix="0" xfId="0"/>
    <xf numFmtId="0" fontId="11" fillId="0" borderId="1" pivotButton="0" quotePrefix="0" xfId="0"/>
    <xf numFmtId="165" fontId="0" fillId="0" borderId="1" pivotButton="0" quotePrefix="0" xfId="0"/>
    <xf numFmtId="0" fontId="5" fillId="3" borderId="1" pivotButton="0" quotePrefix="0" xfId="0"/>
    <xf numFmtId="3" fontId="0" fillId="3" borderId="1" pivotButton="0" quotePrefix="0" xfId="0"/>
    <xf numFmtId="3" fontId="5" fillId="3" borderId="1" pivotButton="0" quotePrefix="0" xfId="0"/>
    <xf numFmtId="165" fontId="0" fillId="3" borderId="1" pivotButton="0" quotePrefix="0" xfId="0"/>
    <xf numFmtId="0" fontId="0" fillId="3" borderId="1" pivotButton="0" quotePrefix="0" xfId="0"/>
    <xf numFmtId="0" fontId="7" fillId="7" borderId="0" applyAlignment="1" pivotButton="0" quotePrefix="0" xfId="0">
      <alignment horizontal="center"/>
    </xf>
    <xf numFmtId="0" fontId="0" fillId="7" borderId="0" pivotButton="0" quotePrefix="0" xfId="0"/>
    <xf numFmtId="3" fontId="0" fillId="6" borderId="1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0" fillId="8" borderId="0" pivotButton="0" quotePrefix="0" xfId="0"/>
    <xf numFmtId="0" fontId="14" fillId="0" borderId="1" pivotButton="0" quotePrefix="0" xfId="0"/>
    <xf numFmtId="0" fontId="15" fillId="0" borderId="1" pivotButton="0" quotePrefix="0" xfId="0"/>
    <xf numFmtId="165" fontId="0" fillId="6" borderId="1" pivotButton="0" quotePrefix="0" xfId="0"/>
    <xf numFmtId="0" fontId="20" fillId="6" borderId="1" applyAlignment="1" pivotButton="0" quotePrefix="0" xfId="0">
      <alignment wrapText="1"/>
    </xf>
    <xf numFmtId="166" fontId="0" fillId="0" borderId="1" pivotButton="0" quotePrefix="0" xfId="0"/>
    <xf numFmtId="0" fontId="20" fillId="0" borderId="1" applyAlignment="1" pivotButton="0" quotePrefix="0" xfId="0">
      <alignment wrapText="1"/>
    </xf>
    <xf numFmtId="0" fontId="16" fillId="6" borderId="2" pivotButton="0" quotePrefix="0" xfId="0"/>
    <xf numFmtId="167" fontId="17" fillId="6" borderId="2" pivotButton="0" quotePrefix="0" xfId="0"/>
    <xf numFmtId="0" fontId="18" fillId="6" borderId="2" pivotButton="0" quotePrefix="0" xfId="0"/>
    <xf numFmtId="0" fontId="0" fillId="6" borderId="2" pivotButton="0" quotePrefix="0" xfId="0"/>
    <xf numFmtId="0" fontId="7" fillId="12" borderId="0" applyAlignment="1" pivotButton="0" quotePrefix="0" xfId="0">
      <alignment horizontal="center"/>
    </xf>
    <xf numFmtId="0" fontId="0" fillId="12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14" fillId="13" borderId="1" pivotButton="0" quotePrefix="0" xfId="0"/>
    <xf numFmtId="0" fontId="0" fillId="13" borderId="1" pivotButton="0" quotePrefix="0" xfId="0"/>
    <xf numFmtId="0" fontId="20" fillId="13" borderId="1" applyAlignment="1" pivotButton="0" quotePrefix="0" xfId="0">
      <alignment wrapText="1"/>
    </xf>
    <xf numFmtId="0" fontId="5" fillId="9" borderId="1" pivotButton="0" quotePrefix="0" xfId="0"/>
    <xf numFmtId="0" fontId="19" fillId="9" borderId="1" pivotButton="0" quotePrefix="0" xfId="0"/>
    <xf numFmtId="0" fontId="0" fillId="9" borderId="1" pivotButton="0" quotePrefix="0" xfId="0"/>
    <xf numFmtId="3" fontId="0" fillId="13" borderId="1" pivotButton="0" quotePrefix="0" xfId="0"/>
    <xf numFmtId="165" fontId="0" fillId="13" borderId="1" pivotButton="0" quotePrefix="0" xfId="0"/>
    <xf numFmtId="0" fontId="7" fillId="10" borderId="0" applyAlignment="1" pivotButton="0" quotePrefix="0" xfId="0">
      <alignment horizontal="center"/>
    </xf>
    <xf numFmtId="0" fontId="0" fillId="10" borderId="0" pivotButton="0" quotePrefix="0" xfId="0"/>
    <xf numFmtId="166" fontId="0" fillId="13" borderId="1" pivotButton="0" quotePrefix="0" xfId="0"/>
    <xf numFmtId="0" fontId="20" fillId="11" borderId="1" pivotButton="0" quotePrefix="0" xfId="0"/>
    <xf numFmtId="0" fontId="20" fillId="0" borderId="1" pivotButton="0" quotePrefix="0" xfId="0"/>
    <xf numFmtId="0" fontId="21" fillId="11" borderId="1" pivotButton="0" quotePrefix="0" xfId="0"/>
    <xf numFmtId="0" fontId="21" fillId="0" borderId="1" pivotButton="0" quotePrefix="0" xfId="0"/>
    <xf numFmtId="0" fontId="22" fillId="11" borderId="1" pivotButton="0" quotePrefix="0" xfId="0"/>
    <xf numFmtId="0" fontId="20" fillId="11" borderId="1" applyAlignment="1" pivotButton="0" quotePrefix="0" xfId="0">
      <alignment wrapText="1"/>
    </xf>
    <xf numFmtId="0" fontId="0" fillId="11" borderId="1" pivotButton="0" quotePrefix="0" xfId="0"/>
    <xf numFmtId="0" fontId="22" fillId="0" borderId="1" pivotButton="0" quotePrefix="0" xfId="0"/>
    <xf numFmtId="0" fontId="14" fillId="5" borderId="1" pivotButton="0" quotePrefix="0" xfId="0"/>
    <xf numFmtId="166" fontId="8" fillId="0" borderId="1" pivotButton="0" quotePrefix="0" xfId="0"/>
    <xf numFmtId="0" fontId="7" fillId="14" borderId="0" applyAlignment="1" pivotButton="0" quotePrefix="0" xfId="0">
      <alignment horizontal="center"/>
    </xf>
    <xf numFmtId="0" fontId="0" fillId="14" borderId="0" pivotButton="0" quotePrefix="0" xfId="0"/>
    <xf numFmtId="0" fontId="20" fillId="15" borderId="1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1" pivotButton="0" quotePrefix="0" xfId="0"/>
    <xf numFmtId="49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3" fontId="14" fillId="5" borderId="1" pivotButton="0" quotePrefix="0" xfId="0"/>
    <xf numFmtId="0" fontId="15" fillId="5" borderId="1" pivotButton="0" quotePrefix="0" xfId="0"/>
    <xf numFmtId="3" fontId="14" fillId="0" borderId="1" pivotButton="0" quotePrefix="0" xfId="0"/>
    <xf numFmtId="10" fontId="14" fillId="5" borderId="1" pivotButton="0" quotePrefix="0" xfId="0"/>
    <xf numFmtId="10" fontId="14" fillId="0" borderId="1" pivotButton="0" quotePrefix="0" xfId="0"/>
    <xf numFmtId="0" fontId="2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'Dashboard'!$A$13:$A$20</f>
            </numRef>
          </cat>
          <val>
            <numRef>
              <f>'Dashboard'!$B$13:$B$20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'Dashboard'!$F$5:$F$16</f>
            </numRef>
          </cat>
          <val>
            <numRef>
              <f>'Dashboard'!$G$5:$G$16</f>
            </numRef>
          </val>
        </ser>
        <ser>
          <idx val="1"/>
          <order val="1"/>
          <tx>
            <strRef>
              <f>'Dashboard'!H4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'Dashboard'!$F$5:$F$16</f>
            </numRef>
          </cat>
          <val>
            <numRef>
              <f>'Dashboard'!$H$5:$H$16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22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42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FINANCIAL DASHBOARD</t>
        </is>
      </c>
    </row>
    <row r="3">
      <c r="A3" s="2" t="inlineStr">
        <is>
          <t>FINANCIAL OVERVIEW</t>
        </is>
      </c>
      <c r="B3" s="3" t="n"/>
      <c r="C3" s="3" t="n"/>
      <c r="D3" s="3" t="n"/>
      <c r="F3" s="2" t="inlineStr">
        <is>
          <t>MONTHLY BREAKDOWN</t>
        </is>
      </c>
      <c r="G3" s="3" t="n"/>
      <c r="H3" s="3" t="n"/>
      <c r="I3" s="3" t="n"/>
    </row>
    <row r="4">
      <c r="A4" s="4" t="inlineStr">
        <is>
          <t>Total Income</t>
        </is>
      </c>
      <c r="B4" s="5">
        <f>SUMPRODUCT((Income!D3:D502)*1)</f>
        <v/>
      </c>
      <c r="C4" s="4" t="n"/>
      <c r="D4" s="4" t="n"/>
      <c r="E4" s="4" t="n"/>
      <c r="F4" s="4" t="inlineStr">
        <is>
          <t>Month</t>
        </is>
      </c>
      <c r="G4" s="4" t="inlineStr">
        <is>
          <t>Income</t>
        </is>
      </c>
      <c r="H4" s="4" t="inlineStr">
        <is>
          <t>Spending</t>
        </is>
      </c>
      <c r="I4" s="4" t="inlineStr">
        <is>
          <t>Net</t>
        </is>
      </c>
    </row>
    <row r="5">
      <c r="A5" s="6" t="inlineStr">
        <is>
          <t>Total Spending</t>
        </is>
      </c>
      <c r="B5" s="7">
        <f>SUMPRODUCT((Transactions!E3:E1002)*1)</f>
        <v/>
      </c>
      <c r="C5" s="8" t="n"/>
      <c r="D5" s="8" t="n"/>
      <c r="F5" s="9" t="inlineStr">
        <is>
          <t>2026-01</t>
        </is>
      </c>
      <c r="G5" s="10">
        <f>SUMPRODUCT((EXACT(Income!F3:F502,F5))*(Income!D3:D502))</f>
        <v/>
      </c>
      <c r="H5" s="10">
        <f>SUMPRODUCT((EXACT(Transactions!G3:G1002,F5))*(Transactions!E3:E1002))</f>
        <v/>
      </c>
      <c r="I5" s="10">
        <f>G5-H5</f>
        <v/>
      </c>
    </row>
    <row r="6">
      <c r="A6" s="11" t="inlineStr">
        <is>
          <t>Net (Income-Spend)</t>
        </is>
      </c>
      <c r="B6" s="12">
        <f>B4-B5</f>
        <v/>
      </c>
      <c r="C6" s="13" t="n"/>
      <c r="D6" s="13" t="n"/>
      <c r="F6" s="8" t="inlineStr">
        <is>
          <t>2026-02</t>
        </is>
      </c>
      <c r="G6" s="14">
        <f>SUMPRODUCT((EXACT(Income!F3:F502,F6))*(Income!D3:D502))</f>
        <v/>
      </c>
      <c r="H6" s="14">
        <f>SUMPRODUCT((EXACT(Transactions!G3:G1002,F6))*(Transactions!E3:E1002))</f>
        <v/>
      </c>
      <c r="I6" s="14">
        <f>G6-H6</f>
        <v/>
      </c>
    </row>
    <row r="7">
      <c r="A7" s="6" t="inlineStr">
        <is>
          <t>Total Savings</t>
        </is>
      </c>
      <c r="B7" s="7">
        <f>SUMPRODUCT((EXACT(Savings!C3:C502,"Deposit"))*(Savings!D3:D502))-SUMPRODUCT((EXACT(Savings!C3:C502,"Withdrawal"))*(Savings!D3:D502))</f>
        <v/>
      </c>
      <c r="C7" s="8" t="n"/>
      <c r="D7" s="8" t="n"/>
      <c r="F7" s="9" t="inlineStr">
        <is>
          <t>2026-03</t>
        </is>
      </c>
      <c r="G7" s="10">
        <f>SUMPRODUCT((EXACT(Income!F3:F502,F7))*(Income!D3:D502))</f>
        <v/>
      </c>
      <c r="H7" s="10">
        <f>SUMPRODUCT((EXACT(Transactions!G3:G1002,F7))*(Transactions!E3:E1002))</f>
        <v/>
      </c>
      <c r="I7" s="10">
        <f>G7-H7</f>
        <v/>
      </c>
    </row>
    <row r="8">
      <c r="A8" s="6" t="inlineStr">
        <is>
          <t>Total Assets</t>
        </is>
      </c>
      <c r="B8" s="7">
        <f>SUMPRODUCT((Assets!E3:E202)*1)</f>
        <v/>
      </c>
      <c r="C8" s="8" t="n"/>
      <c r="D8" s="8" t="n"/>
      <c r="F8" s="8" t="inlineStr">
        <is>
          <t>2026-04</t>
        </is>
      </c>
      <c r="G8" s="14">
        <f>SUMPRODUCT((EXACT(Income!F3:F502,F8))*(Income!D3:D502))</f>
        <v/>
      </c>
      <c r="H8" s="14">
        <f>SUMPRODUCT((EXACT(Transactions!G3:G1002,F8))*(Transactions!E3:E1002))</f>
        <v/>
      </c>
      <c r="I8" s="14">
        <f>G8-H8</f>
        <v/>
      </c>
    </row>
    <row r="9">
      <c r="A9" s="15" t="inlineStr">
        <is>
          <t>NET WORTH</t>
        </is>
      </c>
      <c r="B9" s="16">
        <f>B7+B8</f>
        <v/>
      </c>
      <c r="C9" s="13" t="n"/>
      <c r="D9" s="13" t="n"/>
      <c r="F9" s="9" t="inlineStr">
        <is>
          <t>2026-05</t>
        </is>
      </c>
      <c r="G9" s="10">
        <f>SUMPRODUCT((EXACT(Income!F3:F502,F9))*(Income!D3:D502))</f>
        <v/>
      </c>
      <c r="H9" s="10">
        <f>SUMPRODUCT((EXACT(Transactions!G3:G1002,F9))*(Transactions!E3:E1002))</f>
        <v/>
      </c>
      <c r="I9" s="10">
        <f>G9-H9</f>
        <v/>
      </c>
    </row>
    <row r="10">
      <c r="F10" s="8" t="inlineStr">
        <is>
          <t>2026-06</t>
        </is>
      </c>
      <c r="G10" s="14">
        <f>SUMPRODUCT((EXACT(Income!F3:F502,F10))*(Income!D3:D502))</f>
        <v/>
      </c>
      <c r="H10" s="14">
        <f>SUMPRODUCT((EXACT(Transactions!G3:G1002,F10))*(Transactions!E3:E1002))</f>
        <v/>
      </c>
      <c r="I10" s="14">
        <f>G10-H10</f>
        <v/>
      </c>
    </row>
    <row r="11">
      <c r="A11" s="2" t="inlineStr">
        <is>
          <t>SPENDING BY CATEGORY</t>
        </is>
      </c>
      <c r="B11" s="3" t="n"/>
      <c r="C11" s="3" t="n"/>
      <c r="D11" s="3" t="n"/>
      <c r="F11" s="9" t="inlineStr">
        <is>
          <t>2026-07</t>
        </is>
      </c>
      <c r="G11" s="10">
        <f>SUMPRODUCT((EXACT(Income!F3:F502,F11))*(Income!D3:D502))</f>
        <v/>
      </c>
      <c r="H11" s="10">
        <f>SUMPRODUCT((EXACT(Transactions!G3:G1002,F11))*(Transactions!E3:E1002))</f>
        <v/>
      </c>
      <c r="I11" s="10">
        <f>G11-H11</f>
        <v/>
      </c>
    </row>
    <row r="12">
      <c r="A12" s="4" t="inlineStr">
        <is>
          <t>Category</t>
        </is>
      </c>
      <c r="B12" s="4" t="inlineStr">
        <is>
          <t>Total Spent</t>
        </is>
      </c>
      <c r="C12" s="4" t="inlineStr">
        <is>
          <t>% of Total</t>
        </is>
      </c>
      <c r="D12" s="4" t="inlineStr">
        <is>
          <t>Avg per Txn</t>
        </is>
      </c>
      <c r="F12" s="8" t="inlineStr">
        <is>
          <t>2026-08</t>
        </is>
      </c>
      <c r="G12" s="14">
        <f>SUMPRODUCT((EXACT(Income!F3:F502,F12))*(Income!D3:D502))</f>
        <v/>
      </c>
      <c r="H12" s="14">
        <f>SUMPRODUCT((EXACT(Transactions!G3:G1002,F12))*(Transactions!E3:E1002))</f>
        <v/>
      </c>
      <c r="I12" s="14">
        <f>G12-H12</f>
        <v/>
      </c>
    </row>
    <row r="13">
      <c r="A13" s="17" t="inlineStr">
        <is>
          <t>Food &amp; Groceries</t>
        </is>
      </c>
      <c r="B13" s="10">
        <f>SUMPRODUCT((EXACT(Transactions!C3:C1002,A13))*(Transactions!E3:E1002))</f>
        <v/>
      </c>
      <c r="C13" s="18">
        <f>IF(B5&lt;&gt;0,B13/B5,0)</f>
        <v/>
      </c>
      <c r="D13" s="10">
        <f>IF(COUNTIF(Transactions!C3:C1002,A13)&gt;0,B13/COUNTIF(Transactions!C3:C1002,A13),0)</f>
        <v/>
      </c>
      <c r="F13" s="9" t="inlineStr">
        <is>
          <t>2026-09</t>
        </is>
      </c>
      <c r="G13" s="10">
        <f>SUMPRODUCT((EXACT(Income!F3:F502,F13))*(Income!D3:D502))</f>
        <v/>
      </c>
      <c r="H13" s="10">
        <f>SUMPRODUCT((EXACT(Transactions!G3:G1002,F13))*(Transactions!E3:E1002))</f>
        <v/>
      </c>
      <c r="I13" s="10">
        <f>G13-H13</f>
        <v/>
      </c>
    </row>
    <row r="14">
      <c r="A14" s="19" t="inlineStr">
        <is>
          <t>Transportation</t>
        </is>
      </c>
      <c r="B14" s="14">
        <f>SUMPRODUCT((EXACT(Transactions!C3:C1002,A14))*(Transactions!E3:E1002))</f>
        <v/>
      </c>
      <c r="C14" s="20">
        <f>IF(B5&lt;&gt;0,B14/B5,0)</f>
        <v/>
      </c>
      <c r="D14" s="14">
        <f>IF(COUNTIF(Transactions!C3:C1002,A14)&gt;0,B14/COUNTIF(Transactions!C3:C1002,A14),0)</f>
        <v/>
      </c>
      <c r="F14" s="8" t="inlineStr">
        <is>
          <t>2026-10</t>
        </is>
      </c>
      <c r="G14" s="14">
        <f>SUMPRODUCT((EXACT(Income!F3:F502,F14))*(Income!D3:D502))</f>
        <v/>
      </c>
      <c r="H14" s="14">
        <f>SUMPRODUCT((EXACT(Transactions!G3:G1002,F14))*(Transactions!E3:E1002))</f>
        <v/>
      </c>
      <c r="I14" s="14">
        <f>G14-H14</f>
        <v/>
      </c>
    </row>
    <row r="15">
      <c r="A15" s="17" t="inlineStr">
        <is>
          <t>Housing</t>
        </is>
      </c>
      <c r="B15" s="10">
        <f>SUMPRODUCT((EXACT(Transactions!C3:C1002,A15))*(Transactions!E3:E1002))</f>
        <v/>
      </c>
      <c r="C15" s="18">
        <f>IF(B5&lt;&gt;0,B15/B5,0)</f>
        <v/>
      </c>
      <c r="D15" s="10">
        <f>IF(COUNTIF(Transactions!C3:C1002,A15)&gt;0,B15/COUNTIF(Transactions!C3:C1002,A15),0)</f>
        <v/>
      </c>
      <c r="F15" s="9" t="inlineStr">
        <is>
          <t>2026-11</t>
        </is>
      </c>
      <c r="G15" s="10">
        <f>SUMPRODUCT((EXACT(Income!F3:F502,F15))*(Income!D3:D502))</f>
        <v/>
      </c>
      <c r="H15" s="10">
        <f>SUMPRODUCT((EXACT(Transactions!G3:G1002,F15))*(Transactions!E3:E1002))</f>
        <v/>
      </c>
      <c r="I15" s="10">
        <f>G15-H15</f>
        <v/>
      </c>
    </row>
    <row r="16">
      <c r="A16" s="19" t="inlineStr">
        <is>
          <t>Entertainment</t>
        </is>
      </c>
      <c r="B16" s="14">
        <f>SUMPRODUCT((EXACT(Transactions!C3:C1002,A16))*(Transactions!E3:E1002))</f>
        <v/>
      </c>
      <c r="C16" s="20">
        <f>IF(B5&lt;&gt;0,B16/B5,0)</f>
        <v/>
      </c>
      <c r="D16" s="14">
        <f>IF(COUNTIF(Transactions!C3:C1002,A16)&gt;0,B16/COUNTIF(Transactions!C3:C1002,A16),0)</f>
        <v/>
      </c>
      <c r="F16" s="8" t="inlineStr">
        <is>
          <t>2026-12</t>
        </is>
      </c>
      <c r="G16" s="14">
        <f>SUMPRODUCT((EXACT(Income!F3:F502,F16))*(Income!D3:D502))</f>
        <v/>
      </c>
      <c r="H16" s="14">
        <f>SUMPRODUCT((EXACT(Transactions!G3:G1002,F16))*(Transactions!E3:E1002))</f>
        <v/>
      </c>
      <c r="I16" s="14">
        <f>G16-H16</f>
        <v/>
      </c>
    </row>
    <row r="17">
      <c r="A17" s="17" t="inlineStr">
        <is>
          <t>Healthcare</t>
        </is>
      </c>
      <c r="B17" s="10">
        <f>SUMPRODUCT((EXACT(Transactions!C3:C1002,A17))*(Transactions!E3:E1002))</f>
        <v/>
      </c>
      <c r="C17" s="18">
        <f>IF(B5&lt;&gt;0,B17/B5,0)</f>
        <v/>
      </c>
      <c r="D17" s="10">
        <f>IF(COUNTIF(Transactions!C3:C1002,A17)&gt;0,B17/COUNTIF(Transactions!C3:C1002,A17),0)</f>
        <v/>
      </c>
      <c r="F17" s="21" t="inlineStr">
        <is>
          <t>YEARLY TOTAL</t>
        </is>
      </c>
      <c r="G17" s="22">
        <f>SUM(G5:G16)</f>
        <v/>
      </c>
      <c r="H17" s="22">
        <f>SUM(H5:H16)</f>
        <v/>
      </c>
      <c r="I17" s="23">
        <f>SUM(I5:I16)</f>
        <v/>
      </c>
    </row>
    <row r="18">
      <c r="A18" s="19" t="inlineStr">
        <is>
          <t>Education</t>
        </is>
      </c>
      <c r="B18" s="14">
        <f>SUMPRODUCT((EXACT(Transactions!C3:C1002,A18))*(Transactions!E3:E1002))</f>
        <v/>
      </c>
      <c r="C18" s="20">
        <f>IF(B5&lt;&gt;0,B18/B5,0)</f>
        <v/>
      </c>
      <c r="D18" s="14">
        <f>IF(COUNTIF(Transactions!C3:C1002,A18)&gt;0,B18/COUNTIF(Transactions!C3:C1002,A18),0)</f>
        <v/>
      </c>
    </row>
    <row r="19">
      <c r="A19" s="17" t="inlineStr">
        <is>
          <t>Shopping</t>
        </is>
      </c>
      <c r="B19" s="10">
        <f>SUMPRODUCT((EXACT(Transactions!C3:C1002,A19))*(Transactions!E3:E1002))</f>
        <v/>
      </c>
      <c r="C19" s="18">
        <f>IF(B5&lt;&gt;0,B19/B5,0)</f>
        <v/>
      </c>
      <c r="D19" s="10">
        <f>IF(COUNTIF(Transactions!C3:C1002,A19)&gt;0,B19/COUNTIF(Transactions!C3:C1002,A19),0)</f>
        <v/>
      </c>
    </row>
    <row r="20">
      <c r="A20" s="19" t="inlineStr">
        <is>
          <t>Bills &amp; Utilities</t>
        </is>
      </c>
      <c r="B20" s="14">
        <f>SUMPRODUCT((EXACT(Transactions!C3:C1002,A20))*(Transactions!E3:E1002))</f>
        <v/>
      </c>
      <c r="C20" s="20">
        <f>IF(B5&lt;&gt;0,B20/B5,0)</f>
        <v/>
      </c>
      <c r="D20" s="14">
        <f>IF(COUNTIF(Transactions!C3:C1002,A20)&gt;0,B20/COUNTIF(Transactions!C3:C1002,A20),0)</f>
        <v/>
      </c>
    </row>
    <row r="21">
      <c r="A21" s="21" t="inlineStr">
        <is>
          <t>TOTAL</t>
        </is>
      </c>
      <c r="B21" s="23">
        <f>SUM(B13:B20)</f>
        <v/>
      </c>
      <c r="C21" s="24" t="n">
        <v>1</v>
      </c>
      <c r="D21" s="25" t="n"/>
    </row>
    <row r="23">
      <c r="A23" s="26" t="inlineStr">
        <is>
          <t>SAVINGS OVERVIEW</t>
        </is>
      </c>
      <c r="B23" s="27" t="n"/>
      <c r="C23" s="27" t="n"/>
      <c r="D23" s="27" t="n"/>
    </row>
    <row r="24">
      <c r="A24" s="4" t="inlineStr">
        <is>
          <t>Account</t>
        </is>
      </c>
      <c r="B24" s="4" t="inlineStr">
        <is>
          <t>Total Deposits</t>
        </is>
      </c>
      <c r="C24" s="4" t="inlineStr">
        <is>
          <t>Total Withdrawals</t>
        </is>
      </c>
      <c r="D24" s="4" t="inlineStr">
        <is>
          <t>Net Savings</t>
        </is>
      </c>
    </row>
    <row r="25">
      <c r="A25" s="13" t="inlineStr">
        <is>
          <t>Emergency Fund</t>
        </is>
      </c>
      <c r="B25" s="28">
        <f>SUMPRODUCT((EXACT(Savings!B3:B502,A25))*(EXACT(Savings!C3:C502,"Deposit"))*(Savings!D3:D502))</f>
        <v/>
      </c>
      <c r="C25" s="28">
        <f>SUMPRODUCT((EXACT(Savings!B3:B502,A25))*(EXACT(Savings!C3:C502,"Withdrawal"))*(Savings!D3:D502))</f>
        <v/>
      </c>
      <c r="D25" s="28">
        <f>B25-C25</f>
        <v/>
      </c>
    </row>
    <row r="26">
      <c r="A26" s="8" t="inlineStr">
        <is>
          <t>Vacation</t>
        </is>
      </c>
      <c r="B26" s="14">
        <f>SUMPRODUCT((EXACT(Savings!B3:B502,A26))*(EXACT(Savings!C3:C502,"Deposit"))*(Savings!D3:D502))</f>
        <v/>
      </c>
      <c r="C26" s="14">
        <f>SUMPRODUCT((EXACT(Savings!B3:B502,A26))*(EXACT(Savings!C3:C502,"Withdrawal"))*(Savings!D3:D502))</f>
        <v/>
      </c>
      <c r="D26" s="14">
        <f>B26-C26</f>
        <v/>
      </c>
    </row>
    <row r="27">
      <c r="A27" s="13" t="inlineStr">
        <is>
          <t>Investment</t>
        </is>
      </c>
      <c r="B27" s="28">
        <f>SUMPRODUCT((EXACT(Savings!B3:B502,A27))*(EXACT(Savings!C3:C502,"Deposit"))*(Savings!D3:D502))</f>
        <v/>
      </c>
      <c r="C27" s="28">
        <f>SUMPRODUCT((EXACT(Savings!B3:B502,A27))*(EXACT(Savings!C3:C502,"Withdrawal"))*(Savings!D3:D502))</f>
        <v/>
      </c>
      <c r="D27" s="28">
        <f>B27-C27</f>
        <v/>
      </c>
    </row>
    <row r="28">
      <c r="A28" s="8" t="inlineStr">
        <is>
          <t>Retirement</t>
        </is>
      </c>
      <c r="B28" s="14">
        <f>SUMPRODUCT((EXACT(Savings!B3:B502,A28))*(EXACT(Savings!C3:C502,"Deposit"))*(Savings!D3:D502))</f>
        <v/>
      </c>
      <c r="C28" s="14">
        <f>SUMPRODUCT((EXACT(Savings!B3:B502,A28))*(EXACT(Savings!C3:C502,"Withdrawal"))*(Savings!D3:D502))</f>
        <v/>
      </c>
      <c r="D28" s="14">
        <f>B28-C28</f>
        <v/>
      </c>
    </row>
    <row r="29">
      <c r="A29" s="13" t="inlineStr">
        <is>
          <t>Other</t>
        </is>
      </c>
      <c r="B29" s="28">
        <f>SUMPRODUCT((EXACT(Savings!B3:B502,A29))*(EXACT(Savings!C3:C502,"Deposit"))*(Savings!D3:D502))</f>
        <v/>
      </c>
      <c r="C29" s="28">
        <f>SUMPRODUCT((EXACT(Savings!B3:B502,A29))*(EXACT(Savings!C3:C502,"Withdrawal"))*(Savings!D3:D502))</f>
        <v/>
      </c>
      <c r="D29" s="28">
        <f>B29-C29</f>
        <v/>
      </c>
    </row>
    <row r="30">
      <c r="A30" s="21" t="inlineStr">
        <is>
          <t>TOTAL</t>
        </is>
      </c>
      <c r="B30" s="22">
        <f>SUM(B25:B29)</f>
        <v/>
      </c>
      <c r="C30" s="22">
        <f>SUM(C25:C29)</f>
        <v/>
      </c>
      <c r="D30" s="23">
        <f>SUM(D25:D29)</f>
        <v/>
      </c>
    </row>
  </sheetData>
  <mergeCells count="5">
    <mergeCell ref="A23:D23"/>
    <mergeCell ref="F3:I3"/>
    <mergeCell ref="A3:D3"/>
    <mergeCell ref="A1:I1"/>
    <mergeCell ref="A11:D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  <col width="3" customWidth="1" min="5" max="5"/>
    <col width="30" customWidth="1" min="6" max="6"/>
    <col width="22" customWidth="1" min="7" max="7"/>
    <col width="22" customWidth="1" min="8" max="8"/>
    <col width="55" customWidth="1" min="9" max="9"/>
  </cols>
  <sheetData>
    <row r="1" ht="45" customHeight="1">
      <c r="A1" s="29" t="inlineStr">
        <is>
          <t>PENASIHAT KEUANGAN / FINANCIAL ADVISOR</t>
        </is>
      </c>
    </row>
    <row r="2">
      <c r="A2" s="30" t="inlineStr">
        <is>
          <t>Analisis otomatis berdasarkan standar keuangan Indonesia (OJK &amp; BI)</t>
        </is>
      </c>
    </row>
    <row r="4">
      <c r="A4" s="31" t="inlineStr">
        <is>
          <t>SKOR KESEHATAN KEUANGAN</t>
        </is>
      </c>
      <c r="B4" s="32" t="n"/>
      <c r="C4" s="32" t="n"/>
      <c r="D4" s="32" t="n"/>
      <c r="F4" s="31" t="inlineStr">
        <is>
          <t>ANALISIS TREN BULANAN</t>
        </is>
      </c>
      <c r="G4" s="32" t="n"/>
      <c r="H4" s="32" t="n"/>
      <c r="I4" s="32" t="n"/>
    </row>
    <row r="5">
      <c r="A5" s="4" t="inlineStr">
        <is>
          <t>Indikator / Indicator</t>
        </is>
      </c>
      <c r="B5" s="4" t="inlineStr">
        <is>
          <t>Nilai Anda</t>
        </is>
      </c>
      <c r="C5" s="4" t="inlineStr">
        <is>
          <t>Target (ID)</t>
        </is>
      </c>
      <c r="D5" s="4" t="inlineStr">
        <is>
          <t>Status</t>
        </is>
      </c>
      <c r="E5" s="4" t="n"/>
      <c r="F5" s="4" t="inlineStr">
        <is>
          <t>Bulan</t>
        </is>
      </c>
      <c r="G5" s="4" t="inlineStr">
        <is>
          <t>Savings Rate</t>
        </is>
      </c>
      <c r="H5" s="4" t="inlineStr">
        <is>
          <t>Pengeluaran</t>
        </is>
      </c>
      <c r="I5" s="4" t="inlineStr">
        <is>
          <t>Nasihat / Advice</t>
        </is>
      </c>
    </row>
    <row r="6" ht="30" customHeight="1">
      <c r="A6" s="33" t="inlineStr">
        <is>
          <t>Rasio Tabungan (Savings Rate)</t>
        </is>
      </c>
      <c r="B6" s="20">
        <f>IF(Dashboard!B4&gt;0,(Dashboard!B4-Dashboard!B5)/Dashboard!B4,0)</f>
        <v/>
      </c>
      <c r="C6" s="34" t="inlineStr">
        <is>
          <t>&gt;= 20% (ideal ID)</t>
        </is>
      </c>
      <c r="D6" s="33">
        <f>IF(B6&gt;=0.2,"SEHAT",IF(B6&gt;=0.1,"CUKUP",IF(B6&gt;=0.05,"MINIMUM","KURANG")))</f>
        <v/>
      </c>
      <c r="F6" s="13" t="inlineStr">
        <is>
          <t>2026-01</t>
        </is>
      </c>
      <c r="G6" s="35">
        <f>IF(SUMPRODUCT((EXACT(Income!F3:F502,F6))*(Income!D3:D502))&gt;0,(SUMPRODUCT((EXACT(Income!F3:F502,F6))*(Income!D3:D502))-SUMPRODUCT((EXACT(Transactions!G3:G1002,F6))*(Transactions!E3:E1002)))/SUMPRODUCT((EXACT(Income!F3:F502,F6))*(Income!D3:D502)),"")</f>
        <v/>
      </c>
      <c r="H6" s="28">
        <f>SUMPRODUCT((EXACT(Transactions!G3:G1002,F6))*(Transactions!E3:E1002))</f>
        <v/>
      </c>
      <c r="I6" s="36">
        <f>IF(SUMPRODUCT((EXACT(Income!F3:F502,F6))*(Income!D3:D502))=0,"Belum ada data",IF((SUMPRODUCT((EXACT(Income!F3:F502,F6))*(Income!D3:D502))-SUMPRODUCT((EXACT(Transactions!G3:G1002,F6))*(Transactions!E3:E1002)))/SUMPRODUCT((EXACT(Income!F3:F502,F6))*(Income!D3:D502))&gt;=0.3,"Luar biasa! Nabung &gt;30%. Pertimbangkan investasi reksadana/SBN.",IF((SUMPRODUCT((EXACT(Income!F3:F502,F6))*(Income!D3:D502))-SUMPRODUCT((EXACT(Transactions!G3:G1002,F6))*(Transactions!E3:E1002)))/SUMPRODUCT((EXACT(Income!F3:F502,F6))*(Income!D3:D502))&gt;=0.2,"Bagus. Sesuai target 20%. Tetap konsisten!",IF((SUMPRODUCT((EXACT(Income!F3:F502,F6))*(Income!D3:D502))-SUMPRODUCT((EXACT(Transactions!G3:G1002,F6))*(Transactions!E3:E1002)))/SUMPRODUCT((EXACT(Income!F3:F502,F6))*(Income!D3:D502))&gt;=0.1,"Cukup, tapi di bawah ideal. Kurangi jajan &amp; belanja online.",IF((SUMPRODUCT((EXACT(Income!F3:F502,F6))*(Income!D3:D502))-SUMPRODUCT((EXACT(Transactions!G3:G1002,F6))*(Transactions!E3:E1002)))/SUMPRODUCT((EXACT(Income!F3:F502,F6))*(Income!D3:D502))&gt;=0,"Peringatan: Nabung &lt;10%. Cek tagihan &amp; langganan.","BAHAYA: Pengeluaran &gt; pemasukan! Segera kurangi pengeluaran.")))))</f>
        <v/>
      </c>
    </row>
    <row r="7" ht="30" customHeight="1">
      <c r="A7" s="33" t="inlineStr">
        <is>
          <t>Dana Darurat (Emergency Fund)</t>
        </is>
      </c>
      <c r="B7" s="37">
        <f>IF(Dashboard!B5&gt;0,SUMPRODUCT((EXACT(Savings!B3:B502,"Emergency Fund"))*(EXACT(Savings!C3:C502,"Deposit"))*(Savings!D3:D502))/(Dashboard!B5/MAX(COUNTIF(Transactions!G3:G1002,"&lt;&gt;"),1)),0)</f>
        <v/>
      </c>
      <c r="C7" s="34" t="inlineStr">
        <is>
          <t>&gt;= 6 bulan (karyawan tetap)</t>
        </is>
      </c>
      <c r="D7" s="33">
        <f>IF(B7&gt;=6,"SEHAT",IF(B7&gt;=3,"CUKUP","KURANG - Prioritaskan!"))</f>
        <v/>
      </c>
      <c r="F7" s="8" t="inlineStr">
        <is>
          <t>2026-02</t>
        </is>
      </c>
      <c r="G7" s="20">
        <f>IF(SUMPRODUCT((EXACT(Income!F3:F502,F7))*(Income!D3:D502))&gt;0,(SUMPRODUCT((EXACT(Income!F3:F502,F7))*(Income!D3:D502))-SUMPRODUCT((EXACT(Transactions!G3:G1002,F7))*(Transactions!E3:E1002)))/SUMPRODUCT((EXACT(Income!F3:F502,F7))*(Income!D3:D502)),"")</f>
        <v/>
      </c>
      <c r="H7" s="14">
        <f>SUMPRODUCT((EXACT(Transactions!G3:G1002,F7))*(Transactions!E3:E1002))</f>
        <v/>
      </c>
      <c r="I7" s="38">
        <f>IF(SUMPRODUCT((EXACT(Income!F3:F502,F7))*(Income!D3:D502))=0,"Belum ada data",IF((SUMPRODUCT((EXACT(Income!F3:F502,F7))*(Income!D3:D502))-SUMPRODUCT((EXACT(Transactions!G3:G1002,F7))*(Transactions!E3:E1002)))/SUMPRODUCT((EXACT(Income!F3:F502,F7))*(Income!D3:D502))&gt;=0.3,"Luar biasa! Nabung &gt;30%. Pertimbangkan investasi reksadana/SBN.",IF((SUMPRODUCT((EXACT(Income!F3:F502,F7))*(Income!D3:D502))-SUMPRODUCT((EXACT(Transactions!G3:G1002,F7))*(Transactions!E3:E1002)))/SUMPRODUCT((EXACT(Income!F3:F502,F7))*(Income!D3:D502))&gt;=0.2,"Bagus. Sesuai target 20%. Tetap konsisten!",IF((SUMPRODUCT((EXACT(Income!F3:F502,F7))*(Income!D3:D502))-SUMPRODUCT((EXACT(Transactions!G3:G1002,F7))*(Transactions!E3:E1002)))/SUMPRODUCT((EXACT(Income!F3:F502,F7))*(Income!D3:D502))&gt;=0.1,"Cukup, tapi di bawah ideal. Kurangi jajan &amp; belanja online.",IF((SUMPRODUCT((EXACT(Income!F3:F502,F7))*(Income!D3:D502))-SUMPRODUCT((EXACT(Transactions!G3:G1002,F7))*(Transactions!E3:E1002)))/SUMPRODUCT((EXACT(Income!F3:F502,F7))*(Income!D3:D502))&gt;=0,"Peringatan: Nabung &lt;10%. Cek tagihan &amp; langganan.","BAHAYA: Pengeluaran &gt; pemasukan! Segera kurangi pengeluaran.")))))</f>
        <v/>
      </c>
    </row>
    <row r="8" ht="30" customHeight="1">
      <c r="A8" s="33" t="inlineStr">
        <is>
          <t>Rasio Pengeluaran (Spending)</t>
        </is>
      </c>
      <c r="B8" s="20">
        <f>IF(Dashboard!B4&gt;0,Dashboard!B5/Dashboard!B4,0)</f>
        <v/>
      </c>
      <c r="C8" s="34" t="inlineStr">
        <is>
          <t>&lt;= 70% dari income</t>
        </is>
      </c>
      <c r="D8" s="33">
        <f>IF(B8&lt;=0.7,"SEHAT",IF(B8&lt;=0.85,"AWAS","BOROS - Kurangi!"))</f>
        <v/>
      </c>
      <c r="F8" s="13" t="inlineStr">
        <is>
          <t>2026-03</t>
        </is>
      </c>
      <c r="G8" s="35">
        <f>IF(SUMPRODUCT((EXACT(Income!F3:F502,F8))*(Income!D3:D502))&gt;0,(SUMPRODUCT((EXACT(Income!F3:F502,F8))*(Income!D3:D502))-SUMPRODUCT((EXACT(Transactions!G3:G1002,F8))*(Transactions!E3:E1002)))/SUMPRODUCT((EXACT(Income!F3:F502,F8))*(Income!D3:D502)),"")</f>
        <v/>
      </c>
      <c r="H8" s="28">
        <f>SUMPRODUCT((EXACT(Transactions!G3:G1002,F8))*(Transactions!E3:E1002))</f>
        <v/>
      </c>
      <c r="I8" s="36">
        <f>IF(SUMPRODUCT((EXACT(Income!F3:F502,F8))*(Income!D3:D502))=0,"Belum ada data",IF((SUMPRODUCT((EXACT(Income!F3:F502,F8))*(Income!D3:D502))-SUMPRODUCT((EXACT(Transactions!G3:G1002,F8))*(Transactions!E3:E1002)))/SUMPRODUCT((EXACT(Income!F3:F502,F8))*(Income!D3:D502))&gt;=0.3,"Luar biasa! Nabung &gt;30%. Pertimbangkan investasi reksadana/SBN.",IF((SUMPRODUCT((EXACT(Income!F3:F502,F8))*(Income!D3:D502))-SUMPRODUCT((EXACT(Transactions!G3:G1002,F8))*(Transactions!E3:E1002)))/SUMPRODUCT((EXACT(Income!F3:F502,F8))*(Income!D3:D502))&gt;=0.2,"Bagus. Sesuai target 20%. Tetap konsisten!",IF((SUMPRODUCT((EXACT(Income!F3:F502,F8))*(Income!D3:D502))-SUMPRODUCT((EXACT(Transactions!G3:G1002,F8))*(Transactions!E3:E1002)))/SUMPRODUCT((EXACT(Income!F3:F502,F8))*(Income!D3:D502))&gt;=0.1,"Cukup, tapi di bawah ideal. Kurangi jajan &amp; belanja online.",IF((SUMPRODUCT((EXACT(Income!F3:F502,F8))*(Income!D3:D502))-SUMPRODUCT((EXACT(Transactions!G3:G1002,F8))*(Transactions!E3:E1002)))/SUMPRODUCT((EXACT(Income!F3:F502,F8))*(Income!D3:D502))&gt;=0,"Peringatan: Nabung &lt;10%. Cek tagihan &amp; langganan.","BAHAYA: Pengeluaran &gt; pemasukan! Segera kurangi pengeluaran.")))))</f>
        <v/>
      </c>
    </row>
    <row r="9" ht="30" customHeight="1">
      <c r="A9" s="33" t="inlineStr">
        <is>
          <t>Kepatuhan Budget</t>
        </is>
      </c>
      <c r="B9" s="20">
        <f>IF(COUNTA(Budget!E3:E10)&gt;0,COUNTIF(Budget!E3:E10,"OK")/COUNTA(Budget!E3:E10),0)</f>
        <v/>
      </c>
      <c r="C9" s="34" t="inlineStr">
        <is>
          <t>100% on budget</t>
        </is>
      </c>
      <c r="D9" s="33">
        <f>IF(B9&gt;=0.9,"SEHAT",IF(B9&gt;=0.7,"CUKUP","KURANG - Review budget"))</f>
        <v/>
      </c>
      <c r="F9" s="8" t="inlineStr">
        <is>
          <t>2026-04</t>
        </is>
      </c>
      <c r="G9" s="20">
        <f>IF(SUMPRODUCT((EXACT(Income!F3:F502,F9))*(Income!D3:D502))&gt;0,(SUMPRODUCT((EXACT(Income!F3:F502,F9))*(Income!D3:D502))-SUMPRODUCT((EXACT(Transactions!G3:G1002,F9))*(Transactions!E3:E1002)))/SUMPRODUCT((EXACT(Income!F3:F502,F9))*(Income!D3:D502)),"")</f>
        <v/>
      </c>
      <c r="H9" s="14">
        <f>SUMPRODUCT((EXACT(Transactions!G3:G1002,F9))*(Transactions!E3:E1002))</f>
        <v/>
      </c>
      <c r="I9" s="38">
        <f>IF(SUMPRODUCT((EXACT(Income!F3:F502,F9))*(Income!D3:D502))=0,"Belum ada data",IF((SUMPRODUCT((EXACT(Income!F3:F502,F9))*(Income!D3:D502))-SUMPRODUCT((EXACT(Transactions!G3:G1002,F9))*(Transactions!E3:E1002)))/SUMPRODUCT((EXACT(Income!F3:F502,F9))*(Income!D3:D502))&gt;=0.3,"Luar biasa! Nabung &gt;30%. Pertimbangkan investasi reksadana/SBN.",IF((SUMPRODUCT((EXACT(Income!F3:F502,F9))*(Income!D3:D502))-SUMPRODUCT((EXACT(Transactions!G3:G1002,F9))*(Transactions!E3:E1002)))/SUMPRODUCT((EXACT(Income!F3:F502,F9))*(Income!D3:D502))&gt;=0.2,"Bagus. Sesuai target 20%. Tetap konsisten!",IF((SUMPRODUCT((EXACT(Income!F3:F502,F9))*(Income!D3:D502))-SUMPRODUCT((EXACT(Transactions!G3:G1002,F9))*(Transactions!E3:E1002)))/SUMPRODUCT((EXACT(Income!F3:F502,F9))*(Income!D3:D502))&gt;=0.1,"Cukup, tapi di bawah ideal. Kurangi jajan &amp; belanja online.",IF((SUMPRODUCT((EXACT(Income!F3:F502,F9))*(Income!D3:D502))-SUMPRODUCT((EXACT(Transactions!G3:G1002,F9))*(Transactions!E3:E1002)))/SUMPRODUCT((EXACT(Income!F3:F502,F9))*(Income!D3:D502))&gt;=0,"Peringatan: Nabung &lt;10%. Cek tagihan &amp; langganan.","BAHAYA: Pengeluaran &gt; pemasukan! Segera kurangi pengeluaran.")))))</f>
        <v/>
      </c>
    </row>
    <row r="10" ht="30" customHeight="1">
      <c r="A10" s="33" t="inlineStr">
        <is>
          <t>Kebutuhan vs Keinginan</t>
        </is>
      </c>
      <c r="B10" s="20">
        <f>IF(Dashboard!B5&gt;0,(SUMPRODUCT((EXACT(Transactions!C3:C1002,"Food &amp; Groceries"))*(Transactions!E3:E1002))+SUMPRODUCT((EXACT(Transactions!C3:C1002,"Housing"))*(Transactions!E3:E1002))+SUMPRODUCT((EXACT(Transactions!C3:C1002,"Bills &amp; Utilities"))*(Transactions!E3:E1002))+SUMPRODUCT((EXACT(Transactions!C3:C1002,"Healthcare"))*(Transactions!E3:E1002))+SUMPRODUCT((EXACT(Transactions!C3:C1002,"Transportation"))*(Transactions!E3:E1002)))/Dashboard!B5,0)</f>
        <v/>
      </c>
      <c r="C10" s="34" t="inlineStr">
        <is>
          <t>40-50% kebutuhan pokok</t>
        </is>
      </c>
      <c r="D10" s="33">
        <f>IF(AND(B10&gt;=0.35,B10&lt;=0.55),"SEHAT",IF(B10&gt;0.55,"TERLALU TINGGI","RENDAH"))</f>
        <v/>
      </c>
      <c r="F10" s="13" t="inlineStr">
        <is>
          <t>2026-05</t>
        </is>
      </c>
      <c r="G10" s="35">
        <f>IF(SUMPRODUCT((EXACT(Income!F3:F502,F10))*(Income!D3:D502))&gt;0,(SUMPRODUCT((EXACT(Income!F3:F502,F10))*(Income!D3:D502))-SUMPRODUCT((EXACT(Transactions!G3:G1002,F10))*(Transactions!E3:E1002)))/SUMPRODUCT((EXACT(Income!F3:F502,F10))*(Income!D3:D502)),"")</f>
        <v/>
      </c>
      <c r="H10" s="28">
        <f>SUMPRODUCT((EXACT(Transactions!G3:G1002,F10))*(Transactions!E3:E1002))</f>
        <v/>
      </c>
      <c r="I10" s="36">
        <f>IF(SUMPRODUCT((EXACT(Income!F3:F502,F10))*(Income!D3:D502))=0,"Belum ada data",IF((SUMPRODUCT((EXACT(Income!F3:F502,F10))*(Income!D3:D502))-SUMPRODUCT((EXACT(Transactions!G3:G1002,F10))*(Transactions!E3:E1002)))/SUMPRODUCT((EXACT(Income!F3:F502,F10))*(Income!D3:D502))&gt;=0.3,"Luar biasa! Nabung &gt;30%. Pertimbangkan investasi reksadana/SBN.",IF((SUMPRODUCT((EXACT(Income!F3:F502,F10))*(Income!D3:D502))-SUMPRODUCT((EXACT(Transactions!G3:G1002,F10))*(Transactions!E3:E1002)))/SUMPRODUCT((EXACT(Income!F3:F502,F10))*(Income!D3:D502))&gt;=0.2,"Bagus. Sesuai target 20%. Tetap konsisten!",IF((SUMPRODUCT((EXACT(Income!F3:F502,F10))*(Income!D3:D502))-SUMPRODUCT((EXACT(Transactions!G3:G1002,F10))*(Transactions!E3:E1002)))/SUMPRODUCT((EXACT(Income!F3:F502,F10))*(Income!D3:D502))&gt;=0.1,"Cukup, tapi di bawah ideal. Kurangi jajan &amp; belanja online.",IF((SUMPRODUCT((EXACT(Income!F3:F502,F10))*(Income!D3:D502))-SUMPRODUCT((EXACT(Transactions!G3:G1002,F10))*(Transactions!E3:E1002)))/SUMPRODUCT((EXACT(Income!F3:F502,F10))*(Income!D3:D502))&gt;=0,"Peringatan: Nabung &lt;10%. Cek tagihan &amp; langganan.","BAHAYA: Pengeluaran &gt; pemasukan! Segera kurangi pengeluaran.")))))</f>
        <v/>
      </c>
    </row>
    <row r="11" ht="30" customHeight="1">
      <c r="A11" s="33" t="inlineStr">
        <is>
          <t>Alokasi Investasi (% NW)</t>
        </is>
      </c>
      <c r="B11" s="20">
        <f>IF(Dashboard!B9&gt;0,Dashboard!B8/Dashboard!B9,0)</f>
        <v/>
      </c>
      <c r="C11" s="34" t="inlineStr">
        <is>
          <t>&gt;= 30% dari net worth</t>
        </is>
      </c>
      <c r="D11" s="33">
        <f>IF(B11&gt;=0.3,"SEHAT",IF(B11&gt;=0.15,"CUKUP","KURANG - Mulai investasi!"))</f>
        <v/>
      </c>
      <c r="F11" s="8" t="inlineStr">
        <is>
          <t>2026-06</t>
        </is>
      </c>
      <c r="G11" s="20">
        <f>IF(SUMPRODUCT((EXACT(Income!F3:F502,F11))*(Income!D3:D502))&gt;0,(SUMPRODUCT((EXACT(Income!F3:F502,F11))*(Income!D3:D502))-SUMPRODUCT((EXACT(Transactions!G3:G1002,F11))*(Transactions!E3:E1002)))/SUMPRODUCT((EXACT(Income!F3:F502,F11))*(Income!D3:D502)),"")</f>
        <v/>
      </c>
      <c r="H11" s="14">
        <f>SUMPRODUCT((EXACT(Transactions!G3:G1002,F11))*(Transactions!E3:E1002))</f>
        <v/>
      </c>
      <c r="I11" s="38">
        <f>IF(SUMPRODUCT((EXACT(Income!F3:F502,F11))*(Income!D3:D502))=0,"Belum ada data",IF((SUMPRODUCT((EXACT(Income!F3:F502,F11))*(Income!D3:D502))-SUMPRODUCT((EXACT(Transactions!G3:G1002,F11))*(Transactions!E3:E1002)))/SUMPRODUCT((EXACT(Income!F3:F502,F11))*(Income!D3:D502))&gt;=0.3,"Luar biasa! Nabung &gt;30%. Pertimbangkan investasi reksadana/SBN.",IF((SUMPRODUCT((EXACT(Income!F3:F502,F11))*(Income!D3:D502))-SUMPRODUCT((EXACT(Transactions!G3:G1002,F11))*(Transactions!E3:E1002)))/SUMPRODUCT((EXACT(Income!F3:F502,F11))*(Income!D3:D502))&gt;=0.2,"Bagus. Sesuai target 20%. Tetap konsisten!",IF((SUMPRODUCT((EXACT(Income!F3:F502,F11))*(Income!D3:D502))-SUMPRODUCT((EXACT(Transactions!G3:G1002,F11))*(Transactions!E3:E1002)))/SUMPRODUCT((EXACT(Income!F3:F502,F11))*(Income!D3:D502))&gt;=0.1,"Cukup, tapi di bawah ideal. Kurangi jajan &amp; belanja online.",IF((SUMPRODUCT((EXACT(Income!F3:F502,F11))*(Income!D3:D502))-SUMPRODUCT((EXACT(Transactions!G3:G1002,F11))*(Transactions!E3:E1002)))/SUMPRODUCT((EXACT(Income!F3:F502,F11))*(Income!D3:D502))&gt;=0,"Peringatan: Nabung &lt;10%. Cek tagihan &amp; langganan.","BAHAYA: Pengeluaran &gt; pemasukan! Segera kurangi pengeluaran.")))))</f>
        <v/>
      </c>
    </row>
    <row r="12" ht="30" customHeight="1">
      <c r="A12" s="33" t="inlineStr">
        <is>
          <t>Rasio Utang (Debt-to-Income)</t>
        </is>
      </c>
      <c r="B12" s="20">
        <f>0</f>
        <v/>
      </c>
      <c r="C12" s="34" t="inlineStr">
        <is>
          <t>&lt; 30% (BI standard)</t>
        </is>
      </c>
      <c r="D12" s="33">
        <f>IF(B12&lt;0.3,"SEHAT",IF(B12&lt;0.4,"AWAS","BAHAYA - BI limit 30-40%"))</f>
        <v/>
      </c>
      <c r="F12" s="13" t="inlineStr">
        <is>
          <t>2026-07</t>
        </is>
      </c>
      <c r="G12" s="35">
        <f>IF(SUMPRODUCT((EXACT(Income!F3:F502,F12))*(Income!D3:D502))&gt;0,(SUMPRODUCT((EXACT(Income!F3:F502,F12))*(Income!D3:D502))-SUMPRODUCT((EXACT(Transactions!G3:G1002,F12))*(Transactions!E3:E1002)))/SUMPRODUCT((EXACT(Income!F3:F502,F12))*(Income!D3:D502)),"")</f>
        <v/>
      </c>
      <c r="H12" s="28">
        <f>SUMPRODUCT((EXACT(Transactions!G3:G1002,F12))*(Transactions!E3:E1002))</f>
        <v/>
      </c>
      <c r="I12" s="36">
        <f>IF(SUMPRODUCT((EXACT(Income!F3:F502,F12))*(Income!D3:D502))=0,"Belum ada data",IF((SUMPRODUCT((EXACT(Income!F3:F502,F12))*(Income!D3:D502))-SUMPRODUCT((EXACT(Transactions!G3:G1002,F12))*(Transactions!E3:E1002)))/SUMPRODUCT((EXACT(Income!F3:F502,F12))*(Income!D3:D502))&gt;=0.3,"Luar biasa! Nabung &gt;30%. Pertimbangkan investasi reksadana/SBN.",IF((SUMPRODUCT((EXACT(Income!F3:F502,F12))*(Income!D3:D502))-SUMPRODUCT((EXACT(Transactions!G3:G1002,F12))*(Transactions!E3:E1002)))/SUMPRODUCT((EXACT(Income!F3:F502,F12))*(Income!D3:D502))&gt;=0.2,"Bagus. Sesuai target 20%. Tetap konsisten!",IF((SUMPRODUCT((EXACT(Income!F3:F502,F12))*(Income!D3:D502))-SUMPRODUCT((EXACT(Transactions!G3:G1002,F12))*(Transactions!E3:E1002)))/SUMPRODUCT((EXACT(Income!F3:F502,F12))*(Income!D3:D502))&gt;=0.1,"Cukup, tapi di bawah ideal. Kurangi jajan &amp; belanja online.",IF((SUMPRODUCT((EXACT(Income!F3:F502,F12))*(Income!D3:D502))-SUMPRODUCT((EXACT(Transactions!G3:G1002,F12))*(Transactions!E3:E1002)))/SUMPRODUCT((EXACT(Income!F3:F502,F12))*(Income!D3:D502))&gt;=0,"Peringatan: Nabung &lt;10%. Cek tagihan &amp; langganan.","BAHAYA: Pengeluaran &gt; pemasukan! Segera kurangi pengeluaran.")))))</f>
        <v/>
      </c>
    </row>
    <row r="13" ht="30" customHeight="1">
      <c r="A13" s="33" t="inlineStr">
        <is>
          <t>Pertumbuhan Net Worth</t>
        </is>
      </c>
      <c r="B13" s="20">
        <f>IF(Dashboard!B9&gt;0,Dashboard!B6/Dashboard!B9,0)</f>
        <v/>
      </c>
      <c r="C13" s="34" t="inlineStr">
        <is>
          <t>&gt; inflasi (3.5%)</t>
        </is>
      </c>
      <c r="D13" s="33">
        <f>IF(B13&gt;0.035,"SEHAT",IF(B13&gt;0,"TUMBUH","MENURUN"))</f>
        <v/>
      </c>
      <c r="F13" s="8" t="inlineStr">
        <is>
          <t>2026-08</t>
        </is>
      </c>
      <c r="G13" s="20">
        <f>IF(SUMPRODUCT((EXACT(Income!F3:F502,F13))*(Income!D3:D502))&gt;0,(SUMPRODUCT((EXACT(Income!F3:F502,F13))*(Income!D3:D502))-SUMPRODUCT((EXACT(Transactions!G3:G1002,F13))*(Transactions!E3:E1002)))/SUMPRODUCT((EXACT(Income!F3:F502,F13))*(Income!D3:D502)),"")</f>
        <v/>
      </c>
      <c r="H13" s="14">
        <f>SUMPRODUCT((EXACT(Transactions!G3:G1002,F13))*(Transactions!E3:E1002))</f>
        <v/>
      </c>
      <c r="I13" s="38">
        <f>IF(SUMPRODUCT((EXACT(Income!F3:F502,F13))*(Income!D3:D502))=0,"Belum ada data",IF((SUMPRODUCT((EXACT(Income!F3:F502,F13))*(Income!D3:D502))-SUMPRODUCT((EXACT(Transactions!G3:G1002,F13))*(Transactions!E3:E1002)))/SUMPRODUCT((EXACT(Income!F3:F502,F13))*(Income!D3:D502))&gt;=0.3,"Luar biasa! Nabung &gt;30%. Pertimbangkan investasi reksadana/SBN.",IF((SUMPRODUCT((EXACT(Income!F3:F502,F13))*(Income!D3:D502))-SUMPRODUCT((EXACT(Transactions!G3:G1002,F13))*(Transactions!E3:E1002)))/SUMPRODUCT((EXACT(Income!F3:F502,F13))*(Income!D3:D502))&gt;=0.2,"Bagus. Sesuai target 20%. Tetap konsisten!",IF((SUMPRODUCT((EXACT(Income!F3:F502,F13))*(Income!D3:D502))-SUMPRODUCT((EXACT(Transactions!G3:G1002,F13))*(Transactions!E3:E1002)))/SUMPRODUCT((EXACT(Income!F3:F502,F13))*(Income!D3:D502))&gt;=0.1,"Cukup, tapi di bawah ideal. Kurangi jajan &amp; belanja online.",IF((SUMPRODUCT((EXACT(Income!F3:F502,F13))*(Income!D3:D502))-SUMPRODUCT((EXACT(Transactions!G3:G1002,F13))*(Transactions!E3:E1002)))/SUMPRODUCT((EXACT(Income!F3:F502,F13))*(Income!D3:D502))&gt;=0,"Peringatan: Nabung &lt;10%. Cek tagihan &amp; langganan.","BAHAYA: Pengeluaran &gt; pemasukan! Segera kurangi pengeluaran.")))))</f>
        <v/>
      </c>
    </row>
    <row r="14" ht="30" customHeight="1">
      <c r="F14" s="13" t="inlineStr">
        <is>
          <t>2026-09</t>
        </is>
      </c>
      <c r="G14" s="35">
        <f>IF(SUMPRODUCT((EXACT(Income!F3:F502,F14))*(Income!D3:D502))&gt;0,(SUMPRODUCT((EXACT(Income!F3:F502,F14))*(Income!D3:D502))-SUMPRODUCT((EXACT(Transactions!G3:G1002,F14))*(Transactions!E3:E1002)))/SUMPRODUCT((EXACT(Income!F3:F502,F14))*(Income!D3:D502)),"")</f>
        <v/>
      </c>
      <c r="H14" s="28">
        <f>SUMPRODUCT((EXACT(Transactions!G3:G1002,F14))*(Transactions!E3:E1002))</f>
        <v/>
      </c>
      <c r="I14" s="36">
        <f>IF(SUMPRODUCT((EXACT(Income!F3:F502,F14))*(Income!D3:D502))=0,"Belum ada data",IF((SUMPRODUCT((EXACT(Income!F3:F502,F14))*(Income!D3:D502))-SUMPRODUCT((EXACT(Transactions!G3:G1002,F14))*(Transactions!E3:E1002)))/SUMPRODUCT((EXACT(Income!F3:F502,F14))*(Income!D3:D502))&gt;=0.3,"Luar biasa! Nabung &gt;30%. Pertimbangkan investasi reksadana/SBN.",IF((SUMPRODUCT((EXACT(Income!F3:F502,F14))*(Income!D3:D502))-SUMPRODUCT((EXACT(Transactions!G3:G1002,F14))*(Transactions!E3:E1002)))/SUMPRODUCT((EXACT(Income!F3:F502,F14))*(Income!D3:D502))&gt;=0.2,"Bagus. Sesuai target 20%. Tetap konsisten!",IF((SUMPRODUCT((EXACT(Income!F3:F502,F14))*(Income!D3:D502))-SUMPRODUCT((EXACT(Transactions!G3:G1002,F14))*(Transactions!E3:E1002)))/SUMPRODUCT((EXACT(Income!F3:F502,F14))*(Income!D3:D502))&gt;=0.1,"Cukup, tapi di bawah ideal. Kurangi jajan &amp; belanja online.",IF((SUMPRODUCT((EXACT(Income!F3:F502,F14))*(Income!D3:D502))-SUMPRODUCT((EXACT(Transactions!G3:G1002,F14))*(Transactions!E3:E1002)))/SUMPRODUCT((EXACT(Income!F3:F502,F14))*(Income!D3:D502))&gt;=0,"Peringatan: Nabung &lt;10%. Cek tagihan &amp; langganan.","BAHAYA: Pengeluaran &gt; pemasukan! Segera kurangi pengeluaran.")))))</f>
        <v/>
      </c>
    </row>
    <row r="15" ht="30" customHeight="1">
      <c r="A15" s="39" t="inlineStr">
        <is>
          <t>SKOR KESEHATAN TOTAL</t>
        </is>
      </c>
      <c r="B15" s="40">
        <f>ROUND((COUNTIF(D6:D13,"SEHAT")*3+COUNTIF(D6:D13,"CUKUP")*2+COUNTIF(D6:D13,"TUMBUH")*3+COUNTIF(D6:D13,"MINIMUM")*1+COUNTIF(D6:D13,"AWAS")*1)/(COUNTA(D6:D13)*3)*100,0)</f>
        <v/>
      </c>
      <c r="C15" s="41">
        <f>IF(B15&gt;=80,"Sangat Baik",IF(B15&gt;=60,"Baik",IF(B15&gt;=40,"Cukup","Perlu Perhatian")))</f>
        <v/>
      </c>
      <c r="D15" s="42" t="n"/>
      <c r="F15" s="8" t="inlineStr">
        <is>
          <t>2026-10</t>
        </is>
      </c>
      <c r="G15" s="20">
        <f>IF(SUMPRODUCT((EXACT(Income!F3:F502,F15))*(Income!D3:D502))&gt;0,(SUMPRODUCT((EXACT(Income!F3:F502,F15))*(Income!D3:D502))-SUMPRODUCT((EXACT(Transactions!G3:G1002,F15))*(Transactions!E3:E1002)))/SUMPRODUCT((EXACT(Income!F3:F502,F15))*(Income!D3:D502)),"")</f>
        <v/>
      </c>
      <c r="H15" s="14">
        <f>SUMPRODUCT((EXACT(Transactions!G3:G1002,F15))*(Transactions!E3:E1002))</f>
        <v/>
      </c>
      <c r="I15" s="38">
        <f>IF(SUMPRODUCT((EXACT(Income!F3:F502,F15))*(Income!D3:D502))=0,"Belum ada data",IF((SUMPRODUCT((EXACT(Income!F3:F502,F15))*(Income!D3:D502))-SUMPRODUCT((EXACT(Transactions!G3:G1002,F15))*(Transactions!E3:E1002)))/SUMPRODUCT((EXACT(Income!F3:F502,F15))*(Income!D3:D502))&gt;=0.3,"Luar biasa! Nabung &gt;30%. Pertimbangkan investasi reksadana/SBN.",IF((SUMPRODUCT((EXACT(Income!F3:F502,F15))*(Income!D3:D502))-SUMPRODUCT((EXACT(Transactions!G3:G1002,F15))*(Transactions!E3:E1002)))/SUMPRODUCT((EXACT(Income!F3:F502,F15))*(Income!D3:D502))&gt;=0.2,"Bagus. Sesuai target 20%. Tetap konsisten!",IF((SUMPRODUCT((EXACT(Income!F3:F502,F15))*(Income!D3:D502))-SUMPRODUCT((EXACT(Transactions!G3:G1002,F15))*(Transactions!E3:E1002)))/SUMPRODUCT((EXACT(Income!F3:F502,F15))*(Income!D3:D502))&gt;=0.1,"Cukup, tapi di bawah ideal. Kurangi jajan &amp; belanja online.",IF((SUMPRODUCT((EXACT(Income!F3:F502,F15))*(Income!D3:D502))-SUMPRODUCT((EXACT(Transactions!G3:G1002,F15))*(Transactions!E3:E1002)))/SUMPRODUCT((EXACT(Income!F3:F502,F15))*(Income!D3:D502))&gt;=0,"Peringatan: Nabung &lt;10%. Cek tagihan &amp; langganan.","BAHAYA: Pengeluaran &gt; pemasukan! Segera kurangi pengeluaran.")))))</f>
        <v/>
      </c>
    </row>
    <row r="16" ht="30" customHeight="1">
      <c r="F16" s="13" t="inlineStr">
        <is>
          <t>2026-11</t>
        </is>
      </c>
      <c r="G16" s="35">
        <f>IF(SUMPRODUCT((EXACT(Income!F3:F502,F16))*(Income!D3:D502))&gt;0,(SUMPRODUCT((EXACT(Income!F3:F502,F16))*(Income!D3:D502))-SUMPRODUCT((EXACT(Transactions!G3:G1002,F16))*(Transactions!E3:E1002)))/SUMPRODUCT((EXACT(Income!F3:F502,F16))*(Income!D3:D502)),"")</f>
        <v/>
      </c>
      <c r="H16" s="28">
        <f>SUMPRODUCT((EXACT(Transactions!G3:G1002,F16))*(Transactions!E3:E1002))</f>
        <v/>
      </c>
      <c r="I16" s="36">
        <f>IF(SUMPRODUCT((EXACT(Income!F3:F502,F16))*(Income!D3:D502))=0,"Belum ada data",IF((SUMPRODUCT((EXACT(Income!F3:F502,F16))*(Income!D3:D502))-SUMPRODUCT((EXACT(Transactions!G3:G1002,F16))*(Transactions!E3:E1002)))/SUMPRODUCT((EXACT(Income!F3:F502,F16))*(Income!D3:D502))&gt;=0.3,"Luar biasa! Nabung &gt;30%. Pertimbangkan investasi reksadana/SBN.",IF((SUMPRODUCT((EXACT(Income!F3:F502,F16))*(Income!D3:D502))-SUMPRODUCT((EXACT(Transactions!G3:G1002,F16))*(Transactions!E3:E1002)))/SUMPRODUCT((EXACT(Income!F3:F502,F16))*(Income!D3:D502))&gt;=0.2,"Bagus. Sesuai target 20%. Tetap konsisten!",IF((SUMPRODUCT((EXACT(Income!F3:F502,F16))*(Income!D3:D502))-SUMPRODUCT((EXACT(Transactions!G3:G1002,F16))*(Transactions!E3:E1002)))/SUMPRODUCT((EXACT(Income!F3:F502,F16))*(Income!D3:D502))&gt;=0.1,"Cukup, tapi di bawah ideal. Kurangi jajan &amp; belanja online.",IF((SUMPRODUCT((EXACT(Income!F3:F502,F16))*(Income!D3:D502))-SUMPRODUCT((EXACT(Transactions!G3:G1002,F16))*(Transactions!E3:E1002)))/SUMPRODUCT((EXACT(Income!F3:F502,F16))*(Income!D3:D502))&gt;=0,"Peringatan: Nabung &lt;10%. Cek tagihan &amp; langganan.","BAHAYA: Pengeluaran &gt; pemasukan! Segera kurangi pengeluaran.")))))</f>
        <v/>
      </c>
    </row>
    <row r="17" ht="30" customHeight="1">
      <c r="A17" s="31" t="inlineStr">
        <is>
          <t>ATURAN 40/30/20/10 (Adaptasi Indonesia)</t>
        </is>
      </c>
      <c r="B17" s="32" t="n"/>
      <c r="C17" s="32" t="n"/>
      <c r="D17" s="32" t="n"/>
      <c r="F17" s="8" t="inlineStr">
        <is>
          <t>2026-12</t>
        </is>
      </c>
      <c r="G17" s="20">
        <f>IF(SUMPRODUCT((EXACT(Income!F3:F502,F17))*(Income!D3:D502))&gt;0,(SUMPRODUCT((EXACT(Income!F3:F502,F17))*(Income!D3:D502))-SUMPRODUCT((EXACT(Transactions!G3:G1002,F17))*(Transactions!E3:E1002)))/SUMPRODUCT((EXACT(Income!F3:F502,F17))*(Income!D3:D502)),"")</f>
        <v/>
      </c>
      <c r="H17" s="14">
        <f>SUMPRODUCT((EXACT(Transactions!G3:G1002,F17))*(Transactions!E3:E1002))</f>
        <v/>
      </c>
      <c r="I17" s="38">
        <f>IF(SUMPRODUCT((EXACT(Income!F3:F502,F17))*(Income!D3:D502))=0,"Belum ada data",IF((SUMPRODUCT((EXACT(Income!F3:F502,F17))*(Income!D3:D502))-SUMPRODUCT((EXACT(Transactions!G3:G1002,F17))*(Transactions!E3:E1002)))/SUMPRODUCT((EXACT(Income!F3:F502,F17))*(Income!D3:D502))&gt;=0.3,"Luar biasa! Nabung &gt;30%. Pertimbangkan investasi reksadana/SBN.",IF((SUMPRODUCT((EXACT(Income!F3:F502,F17))*(Income!D3:D502))-SUMPRODUCT((EXACT(Transactions!G3:G1002,F17))*(Transactions!E3:E1002)))/SUMPRODUCT((EXACT(Income!F3:F502,F17))*(Income!D3:D502))&gt;=0.2,"Bagus. Sesuai target 20%. Tetap konsisten!",IF((SUMPRODUCT((EXACT(Income!F3:F502,F17))*(Income!D3:D502))-SUMPRODUCT((EXACT(Transactions!G3:G1002,F17))*(Transactions!E3:E1002)))/SUMPRODUCT((EXACT(Income!F3:F502,F17))*(Income!D3:D502))&gt;=0.1,"Cukup, tapi di bawah ideal. Kurangi jajan &amp; belanja online.",IF((SUMPRODUCT((EXACT(Income!F3:F502,F17))*(Income!D3:D502))-SUMPRODUCT((EXACT(Transactions!G3:G1002,F17))*(Transactions!E3:E1002)))/SUMPRODUCT((EXACT(Income!F3:F502,F17))*(Income!D3:D502))&gt;=0,"Peringatan: Nabung &lt;10%. Cek tagihan &amp; langganan.","BAHAYA: Pengeluaran &gt; pemasukan! Segera kurangi pengeluaran.")))))</f>
        <v/>
      </c>
    </row>
    <row r="18">
      <c r="A18" s="4" t="inlineStr">
        <is>
          <t>Kategori</t>
        </is>
      </c>
      <c r="B18" s="4" t="inlineStr">
        <is>
          <t>Ideal %</t>
        </is>
      </c>
      <c r="C18" s="4" t="inlineStr">
        <is>
          <t>Aktual %</t>
        </is>
      </c>
      <c r="D18" s="4" t="inlineStr">
        <is>
          <t>Jumlah (Rp)</t>
        </is>
      </c>
    </row>
    <row r="19">
      <c r="A19" s="33" t="inlineStr">
        <is>
          <t>Kebutuhan Pokok (Living)</t>
        </is>
      </c>
      <c r="B19" s="20" t="n">
        <v>0.4</v>
      </c>
      <c r="C19" s="20">
        <f>IF(Dashboard!B4&gt;0,(SUMPRODUCT((EXACT(Transactions!C3:C1002,"Food &amp; Groceries"))*(Transactions!E3:E1002))+SUMPRODUCT((EXACT(Transactions!C3:C1002,"Housing"))*(Transactions!E3:E1002))+SUMPRODUCT((EXACT(Transactions!C3:C1002,"Transportation"))*(Transactions!E3:E1002))+SUMPRODUCT((EXACT(Transactions!C3:C1002,"Healthcare"))*(Transactions!E3:E1002))+SUMPRODUCT((EXACT(Transactions!C3:C1002,"Bills &amp; Utilities"))*(Transactions!E3:E1002)))/Dashboard!B4,0)</f>
        <v/>
      </c>
      <c r="D19" s="14">
        <f>SUMPRODUCT((EXACT(Transactions!C3:C1002,"Food &amp; Groceries"))*(Transactions!E3:E1002))+SUMPRODUCT((EXACT(Transactions!C3:C1002,"Housing"))*(Transactions!E3:E1002))+SUMPRODUCT((EXACT(Transactions!C3:C1002,"Transportation"))*(Transactions!E3:E1002))+SUMPRODUCT((EXACT(Transactions!C3:C1002,"Healthcare"))*(Transactions!E3:E1002))+SUMPRODUCT((EXACT(Transactions!C3:C1002,"Bills &amp; Utilities"))*(Transactions!E3:E1002))</f>
        <v/>
      </c>
      <c r="F19" s="43" t="inlineStr">
        <is>
          <t>PERINGATAN CERDAS / SMART ALERTS</t>
        </is>
      </c>
      <c r="G19" s="44" t="n"/>
      <c r="H19" s="44" t="n"/>
      <c r="I19" s="44" t="n"/>
    </row>
    <row r="20">
      <c r="A20" s="4" t="inlineStr">
        <is>
          <t>Keinginan (Lifestyle)</t>
        </is>
      </c>
      <c r="B20" s="45" t="n">
        <v>0.3</v>
      </c>
      <c r="C20" s="45">
        <f>IF(Dashboard!B4&gt;0,(SUMPRODUCT((EXACT(Transactions!C3:C1002,"Entertainment"))*(Transactions!E3:E1002))+SUMPRODUCT((EXACT(Transactions!C3:C1002,"Shopping"))*(Transactions!E3:E1002))+SUMPRODUCT((EXACT(Transactions!C3:C1002,"Education"))*(Transactions!E3:E1002)))/Dashboard!B4,0)</f>
        <v/>
      </c>
      <c r="D20" s="5">
        <f>SUMPRODUCT((EXACT(Transactions!C3:C1002,"Entertainment"))*(Transactions!E3:E1002))+SUMPRODUCT((EXACT(Transactions!C3:C1002,"Shopping"))*(Transactions!E3:E1002))+SUMPRODUCT((EXACT(Transactions!C3:C1002,"Education"))*(Transactions!E3:E1002))</f>
        <v/>
      </c>
      <c r="E20" s="4" t="n"/>
      <c r="F20" s="4" t="inlineStr">
        <is>
          <t>Peringatan</t>
        </is>
      </c>
      <c r="G20" s="4" t="inlineStr">
        <is>
          <t>Detail</t>
        </is>
      </c>
      <c r="H20" s="4" t="inlineStr">
        <is>
          <t>Nilai</t>
        </is>
      </c>
      <c r="I20" s="4" t="inlineStr">
        <is>
          <t>Saran</t>
        </is>
      </c>
    </row>
    <row r="21" ht="32" customHeight="1">
      <c r="A21" s="33" t="inlineStr">
        <is>
          <t>Tabungan &amp; Investasi</t>
        </is>
      </c>
      <c r="B21" s="20" t="n">
        <v>0.2</v>
      </c>
      <c r="C21" s="20">
        <f>IF(Dashboard!B4&gt;0,(Dashboard!B4-Dashboard!B5)/Dashboard!B4,0)</f>
        <v/>
      </c>
      <c r="D21" s="14">
        <f>Dashboard!B4-Dashboard!B5</f>
        <v/>
      </c>
      <c r="F21" s="46" t="inlineStr">
        <is>
          <t>Kategori Tertinggi</t>
        </is>
      </c>
      <c r="G21" s="47">
        <f>INDEX(Dashboard!A13:A20,MATCH(MAX(Dashboard!B13:B20),Dashboard!B13:B20,0))</f>
        <v/>
      </c>
      <c r="H21" s="47">
        <f>TEXT(MAX(Dashboard!B13:B20),"#,##0")</f>
        <v/>
      </c>
      <c r="I21" s="48" t="inlineStr">
        <is>
          <t>Pastikan sesuai prioritas kebutuhan</t>
        </is>
      </c>
    </row>
    <row r="22" ht="32" customHeight="1">
      <c r="A22" s="33" t="inlineStr">
        <is>
          <t>Sedekah/Zakat/Keluarga</t>
        </is>
      </c>
      <c r="B22" s="20" t="n">
        <v>0.1</v>
      </c>
      <c r="C22" s="20">
        <f>0</f>
        <v/>
      </c>
      <c r="D22" s="14">
        <f>0</f>
        <v/>
      </c>
      <c r="F22" s="46" t="inlineStr">
        <is>
          <t>Over Budget</t>
        </is>
      </c>
      <c r="G22" s="47">
        <f>COUNTIF(Budget!E3:E10,"OVER BUDGET")&amp;" kategori melebihi budget"</f>
        <v/>
      </c>
      <c r="H22" s="47">
        <f>IF(COUNTIF(Budget!E3:E10,"OVER BUDGET")&gt;0,"Perlu tindakan","Semua on track!")</f>
        <v/>
      </c>
      <c r="I22" s="48">
        <f>IF(COUNTIF(Budget!E3:E10,"OVER BUDGET")&gt;2,"Serius: banyak kategori over budget!","Cek ulang budget bulanan")</f>
        <v/>
      </c>
    </row>
    <row r="23" ht="32" customHeight="1">
      <c r="A23" s="49" t="inlineStr">
        <is>
          <t>Penilaian</t>
        </is>
      </c>
      <c r="B23" s="50">
        <f>IF(AND(C19&lt;=0.50,C20&lt;=0.35,C21&gt;=0.15),"Seimbang / Balanced","Perlu Penyesuaian")</f>
        <v/>
      </c>
      <c r="C23" s="51" t="n"/>
      <c r="D23" s="51" t="n"/>
      <c r="F23" s="46" t="inlineStr">
        <is>
          <t>Transaksi Terbesar</t>
        </is>
      </c>
      <c r="G23" s="52">
        <f>MAX(Transactions!E3:E1002)</f>
        <v/>
      </c>
      <c r="H23" s="47">
        <f>IF(MAX(Transactions!E3:E1002)&gt;Dashboard!B4*0.1,"&gt;10% income","Normal")</f>
        <v/>
      </c>
      <c r="I23" s="48">
        <f>IF(MAX(Transactions!E3:E1002)&gt;Dashboard!B4*0.1,"Pengeluaran besar. Pertimbangkan cicilan atau dana darurat.","Dalam batas wajar")</f>
        <v/>
      </c>
    </row>
    <row r="24" ht="32" customHeight="1">
      <c r="F24" s="46" t="inlineStr">
        <is>
          <t>Rasio Makan (%)</t>
        </is>
      </c>
      <c r="G24" s="53">
        <f>IF(Dashboard!B5&gt;0,SUMPRODUCT((EXACT(Transactions!C3:C1002,"Food &amp; Groceries"))*(Transactions!E3:E1002))/Dashboard!B5,0)</f>
        <v/>
      </c>
      <c r="H24" s="47" t="inlineStr"/>
      <c r="I24" s="48">
        <f>IF(H24&gt;0.3,"Makan &gt;30% pengeluaran. Coba meal prep &amp; masak sendiri.","Porsi makan wajar")</f>
        <v/>
      </c>
    </row>
    <row r="25" ht="32" customHeight="1">
      <c r="A25" s="54" t="inlineStr">
        <is>
          <t>PANDUAN INVESTASI INDONESIA</t>
        </is>
      </c>
      <c r="B25" s="55" t="n"/>
      <c r="C25" s="55" t="n"/>
      <c r="D25" s="55" t="n"/>
      <c r="F25" s="46" t="inlineStr">
        <is>
          <t>Progress Tabungan</t>
        </is>
      </c>
      <c r="G25" s="53">
        <f>IF(SUMPRODUCT((Savings!F3:F502)*1)&gt;0,Dashboard!B7/SUMPRODUCT((Savings!F3:F502)*1),0)</f>
        <v/>
      </c>
      <c r="H25" s="47" t="inlineStr"/>
      <c r="I25" s="48">
        <f>IF(H25&gt;=0.5,"Sudah &gt;50% target! Terus nabung!",IF(H25&gt;0,"Progress "&amp;TEXT(H25,"0%")&amp;" - terus konsisten!","Tetapkan target tabungan"))</f>
        <v/>
      </c>
    </row>
    <row r="26" ht="32" customHeight="1">
      <c r="A26" s="4" t="inlineStr">
        <is>
          <t>Instrumen</t>
        </is>
      </c>
      <c r="B26" s="4" t="inlineStr">
        <is>
          <t>Return/thn</t>
        </is>
      </c>
      <c r="C26" s="4" t="inlineStr">
        <is>
          <t>Risiko</t>
        </is>
      </c>
      <c r="D26" s="4" t="inlineStr">
        <is>
          <t>Pajak</t>
        </is>
      </c>
      <c r="F26" s="46" t="inlineStr">
        <is>
          <t>Dana Darurat Status</t>
        </is>
      </c>
      <c r="G26" s="56">
        <f>IF(Dashboard!B5&gt;0,SUMPRODUCT((EXACT(Savings!B3:B502,"Emergency Fund"))*(EXACT(Savings!C3:C502,"Deposit"))*(Savings!D3:D502))/(Dashboard!B5/MAX(COUNTIF(Transactions!G3:G1002,"&lt;&gt;"),1)),0)</f>
        <v/>
      </c>
      <c r="H26" s="47" t="inlineStr"/>
      <c r="I26" s="48">
        <f>IF(H26&gt;=6,"Dana darurat aman (&gt;6 bulan).",IF(H26&gt;=3,"Dana darurat cukup (3-6 bulan). Tambah terus.","PRIORITAS: Dana darurat kurang dari 3 bulan!"))</f>
        <v/>
      </c>
    </row>
    <row r="27" ht="32" customHeight="1">
      <c r="A27" s="57" t="inlineStr">
        <is>
          <t>Tabungan Bank</t>
        </is>
      </c>
      <c r="B27" s="57" t="inlineStr">
        <is>
          <t>0.5-2%</t>
        </is>
      </c>
      <c r="C27" s="57" t="inlineStr">
        <is>
          <t>Sangat Rendah</t>
        </is>
      </c>
      <c r="D27" s="57" t="inlineStr">
        <is>
          <t>20% bunga &gt;Rp7.5jt</t>
        </is>
      </c>
      <c r="F27" s="46" t="inlineStr">
        <is>
          <t>Kesiapan Zakat</t>
        </is>
      </c>
      <c r="G27" s="47">
        <f>IF(Dashboard!B9&gt;=Config!B9,"Harta di atas nisab. Siapkan zakat 2.5%.","Belum wajib zakat mal")</f>
        <v/>
      </c>
      <c r="H27" s="52">
        <f>IF(Dashboard!B9&gt;=Config!B9,Dashboard!B9*0.025,0)</f>
        <v/>
      </c>
      <c r="I27" s="48">
        <f>IF(Dashboard!B9&gt;=Config!B9,"Perkiraan zakat: Rp "&amp;TEXT(Dashboard!B9*0.025,"#,##0")&amp;". Bayar via BAZNAS (bisa jadi pengurang pajak).","")</f>
        <v/>
      </c>
    </row>
    <row r="28">
      <c r="A28" s="58" t="inlineStr">
        <is>
          <t>Deposito</t>
        </is>
      </c>
      <c r="B28" s="58" t="inlineStr">
        <is>
          <t>3-5%</t>
        </is>
      </c>
      <c r="C28" s="58" t="inlineStr">
        <is>
          <t>Rendah</t>
        </is>
      </c>
      <c r="D28" s="58" t="inlineStr">
        <is>
          <t>20% bunga</t>
        </is>
      </c>
    </row>
    <row r="29">
      <c r="A29" s="57" t="inlineStr">
        <is>
          <t>Reksadana Pasar Uang</t>
        </is>
      </c>
      <c r="B29" s="57" t="inlineStr">
        <is>
          <t>3-5%</t>
        </is>
      </c>
      <c r="C29" s="57" t="inlineStr">
        <is>
          <t>Rendah</t>
        </is>
      </c>
      <c r="D29" s="59" t="inlineStr">
        <is>
          <t>BEBAS PAJAK</t>
        </is>
      </c>
    </row>
    <row r="30">
      <c r="A30" s="58" t="inlineStr">
        <is>
          <t>Reksadana Pendapatan Tetap</t>
        </is>
      </c>
      <c r="B30" s="58" t="inlineStr">
        <is>
          <t>5-8%</t>
        </is>
      </c>
      <c r="C30" s="58" t="inlineStr">
        <is>
          <t>Rendah-Sedang</t>
        </is>
      </c>
      <c r="D30" s="60" t="inlineStr">
        <is>
          <t>BEBAS PAJAK</t>
        </is>
      </c>
      <c r="F30" s="54" t="inlineStr">
        <is>
          <t>TIPS KEUANGAN INDONESIA</t>
        </is>
      </c>
      <c r="G30" s="55" t="n"/>
      <c r="H30" s="55" t="n"/>
      <c r="I30" s="55" t="n"/>
    </row>
    <row r="31" ht="30" customHeight="1">
      <c r="A31" s="57" t="inlineStr">
        <is>
          <t>Reksadana Campuran</t>
        </is>
      </c>
      <c r="B31" s="57" t="inlineStr">
        <is>
          <t>6-12%</t>
        </is>
      </c>
      <c r="C31" s="57" t="inlineStr">
        <is>
          <t>Sedang</t>
        </is>
      </c>
      <c r="D31" s="59" t="inlineStr">
        <is>
          <t>BEBAS PAJAK</t>
        </is>
      </c>
      <c r="F31" s="61" t="inlineStr">
        <is>
          <t>1.</t>
        </is>
      </c>
      <c r="G31" s="62" t="inlineStr">
        <is>
          <t>Bayar diri sendiri dulu: Sisihkan tabungan &amp; investasi DI AWAL gajian, bukan sisa.</t>
        </is>
      </c>
      <c r="H31" s="63" t="n"/>
      <c r="I31" s="63" t="n"/>
    </row>
    <row r="32" ht="30" customHeight="1">
      <c r="A32" s="58" t="inlineStr">
        <is>
          <t>Reksadana Saham</t>
        </is>
      </c>
      <c r="B32" s="58" t="inlineStr">
        <is>
          <t>8-15%</t>
        </is>
      </c>
      <c r="C32" s="58" t="inlineStr">
        <is>
          <t>Tinggi</t>
        </is>
      </c>
      <c r="D32" s="60" t="inlineStr">
        <is>
          <t>BEBAS PAJAK</t>
        </is>
      </c>
      <c r="F32" s="64" t="inlineStr">
        <is>
          <t>2.</t>
        </is>
      </c>
      <c r="G32" s="38" t="inlineStr">
        <is>
          <t>Aturan 40/30/20/10: 40% kebutuhan, 30% keinginan, 20% tabungan/investasi, 10% sedekah/keluarga.</t>
        </is>
      </c>
      <c r="H32" s="8" t="n"/>
      <c r="I32" s="8" t="n"/>
    </row>
    <row r="33" ht="30" customHeight="1">
      <c r="A33" s="57" t="inlineStr">
        <is>
          <t>SBN Ritel (ORI/SBR/SR/ST)</t>
        </is>
      </c>
      <c r="B33" s="57" t="inlineStr">
        <is>
          <t>5-7%</t>
        </is>
      </c>
      <c r="C33" s="57" t="inlineStr">
        <is>
          <t>Rendah (pemerintah)</t>
        </is>
      </c>
      <c r="D33" s="57" t="inlineStr">
        <is>
          <t>10% kupon</t>
        </is>
      </c>
      <c r="F33" s="61" t="inlineStr">
        <is>
          <t>3.</t>
        </is>
      </c>
      <c r="G33" s="62" t="inlineStr">
        <is>
          <t>Dana darurat 6 bulan: Simpan di reksadana pasar uang (return 3-5%, bebas pajak, mudah dicairkan).</t>
        </is>
      </c>
      <c r="H33" s="63" t="n"/>
      <c r="I33" s="63" t="n"/>
    </row>
    <row r="34" ht="30" customHeight="1">
      <c r="A34" s="58" t="inlineStr">
        <is>
          <t>Saham (IDX)</t>
        </is>
      </c>
      <c r="B34" s="58" t="inlineStr">
        <is>
          <t>10-15%</t>
        </is>
      </c>
      <c r="C34" s="58" t="inlineStr">
        <is>
          <t>Tinggi</t>
        </is>
      </c>
      <c r="D34" s="58" t="inlineStr">
        <is>
          <t>0.1% jual</t>
        </is>
      </c>
      <c r="F34" s="64" t="inlineStr">
        <is>
          <t>4.</t>
        </is>
      </c>
      <c r="G34" s="38" t="inlineStr">
        <is>
          <t>Investasi mulai Rp 10rb: Gunakan reksadana (Bibit, Bareksa, IPOT) - bebas pajak untuk individu.</t>
        </is>
      </c>
      <c r="H34" s="8" t="n"/>
      <c r="I34" s="8" t="n"/>
    </row>
    <row r="35" ht="30" customHeight="1">
      <c r="A35" s="57" t="inlineStr">
        <is>
          <t>Emas (Antam/digital)</t>
        </is>
      </c>
      <c r="B35" s="57" t="inlineStr">
        <is>
          <t>5-10%</t>
        </is>
      </c>
      <c r="C35" s="57" t="inlineStr">
        <is>
          <t>Sedang</t>
        </is>
      </c>
      <c r="D35" s="57" t="inlineStr">
        <is>
          <t>PPh capital gain</t>
        </is>
      </c>
      <c r="F35" s="61" t="inlineStr">
        <is>
          <t>5.</t>
        </is>
      </c>
      <c r="G35" s="62" t="inlineStr">
        <is>
          <t>SBN Ritel (ORI/SBR): Obligasi pemerintah, dijamin negara, return 5-7%, pajak hanya 10%.</t>
        </is>
      </c>
      <c r="H35" s="63" t="n"/>
      <c r="I35" s="63" t="n"/>
    </row>
    <row r="36" ht="30" customHeight="1">
      <c r="A36" s="58" t="inlineStr">
        <is>
          <t>P2P Lending (OJK)</t>
        </is>
      </c>
      <c r="B36" s="58" t="inlineStr">
        <is>
          <t>10-18%</t>
        </is>
      </c>
      <c r="C36" s="58" t="inlineStr">
        <is>
          <t>Tinggi-Sangat Tinggi</t>
        </is>
      </c>
      <c r="D36" s="58" t="inlineStr">
        <is>
          <t>15% bunga</t>
        </is>
      </c>
      <c r="F36" s="64" t="inlineStr">
        <is>
          <t>6.</t>
        </is>
      </c>
      <c r="G36" s="38" t="inlineStr">
        <is>
          <t>Hindari pinjol ilegal: Cek daftar OJK. Bunga pinjol legal max 0.4%/hari sudah sangat mahal.</t>
        </is>
      </c>
      <c r="H36" s="8" t="n"/>
      <c r="I36" s="8" t="n"/>
    </row>
    <row r="37" ht="30" customHeight="1">
      <c r="F37" s="61" t="inlineStr">
        <is>
          <t>7.</t>
        </is>
      </c>
      <c r="G37" s="62" t="inlineStr">
        <is>
          <t>Zakat sebagai pengurang pajak: Bayar via BAZNAS, lampirkan bukti di SPT (mengurangi PKP).</t>
        </is>
      </c>
      <c r="H37" s="63" t="n"/>
      <c r="I37" s="63" t="n"/>
    </row>
    <row r="38" ht="30" customHeight="1">
      <c r="A38" s="31" t="inlineStr">
        <is>
          <t>RINGKASAN STATUS KEUANGAN</t>
        </is>
      </c>
      <c r="B38" s="32" t="n"/>
      <c r="C38" s="32" t="n"/>
      <c r="D38" s="32" t="n"/>
      <c r="F38" s="64" t="inlineStr">
        <is>
          <t>8.</t>
        </is>
      </c>
      <c r="G38" s="38" t="inlineStr">
        <is>
          <t>BPJS JHT = tabungan jangka panjang: Jangan dicairkan dini. Tambah dengan DPLK (pengurang pajak 5%).</t>
        </is>
      </c>
      <c r="H38" s="8" t="n"/>
      <c r="I38" s="8" t="n"/>
    </row>
    <row r="39" ht="30" customHeight="1">
      <c r="F39" s="61" t="inlineStr">
        <is>
          <t>9.</t>
        </is>
      </c>
      <c r="G39" s="62" t="inlineStr">
        <is>
          <t>Aturan 24 jam: Untuk pembelian &gt; Rp 200rb yang bukan kebutuhan, tunggu 24 jam sebelum beli.</t>
        </is>
      </c>
      <c r="H39" s="63" t="n"/>
      <c r="I39" s="63" t="n"/>
    </row>
    <row r="40" ht="30" customHeight="1">
      <c r="A40" s="65" t="inlineStr">
        <is>
          <t>Pendapatan Bulanan (avg)</t>
        </is>
      </c>
      <c r="B40" s="66">
        <f>IF(COUNTIF(Income!F3:F502,"&lt;&gt;")&gt;0,SUMPRODUCT((Income!D3:D502)*1)/MAX(COUNTIF(Income!F3:F502,"&lt;&gt;"),1),0)</f>
        <v/>
      </c>
      <c r="C40" s="8" t="n"/>
      <c r="D40" s="8" t="n"/>
      <c r="F40" s="64" t="inlineStr">
        <is>
          <t>10.</t>
        </is>
      </c>
      <c r="G40" s="38" t="inlineStr">
        <is>
          <t>THR &amp; bonus: Gunakan rumus 50% tabungan/investasi, 30% kebutuhan, 20% keinginan.</t>
        </is>
      </c>
      <c r="H40" s="8" t="n"/>
      <c r="I40" s="8" t="n"/>
    </row>
    <row r="41" ht="30" customHeight="1">
      <c r="A41" s="65" t="inlineStr">
        <is>
          <t>Pengeluaran Bulanan (avg)</t>
        </is>
      </c>
      <c r="B41" s="66">
        <f>IF(COUNTIF(Transactions!G3:G1002,"&lt;&gt;")&gt;0,SUMPRODUCT((Transactions!E3:E1002)*1)/MAX(COUNTIF(Transactions!G3:G1002,"&lt;&gt;"),1),0)</f>
        <v/>
      </c>
      <c r="C41" s="8" t="n"/>
      <c r="D41" s="8" t="n"/>
      <c r="F41" s="61" t="inlineStr">
        <is>
          <t>11.</t>
        </is>
      </c>
      <c r="G41" s="62" t="inlineStr">
        <is>
          <t>Catat uang kiriman keluarga: Budget kirim orang tua sebagai pengeluaran tetap (10-20% gaji).</t>
        </is>
      </c>
      <c r="H41" s="63" t="n"/>
      <c r="I41" s="63" t="n"/>
    </row>
    <row r="42" ht="30" customHeight="1">
      <c r="A42" s="65" t="inlineStr">
        <is>
          <t>Surplus/Defisit Bulanan</t>
        </is>
      </c>
      <c r="B42" s="66">
        <f>B40-B41</f>
        <v/>
      </c>
      <c r="C42" s="8" t="n"/>
      <c r="D42" s="8" t="n"/>
      <c r="F42" s="64" t="inlineStr">
        <is>
          <t>12.</t>
        </is>
      </c>
      <c r="G42" s="38" t="inlineStr">
        <is>
          <t>Arisan = tabungan sosial: Catat sebagai pengeluaran tetap. Jangan ambil arisan untuk konsumsi.</t>
        </is>
      </c>
      <c r="H42" s="8" t="n"/>
      <c r="I42" s="8" t="n"/>
    </row>
    <row r="43">
      <c r="A43" s="65" t="inlineStr">
        <is>
          <t>Total Tabungan Likuid</t>
        </is>
      </c>
      <c r="B43" s="7">
        <f>Dashboard!B7</f>
        <v/>
      </c>
      <c r="C43" s="8" t="n"/>
      <c r="D43" s="8" t="n"/>
    </row>
    <row r="44">
      <c r="A44" s="65" t="inlineStr">
        <is>
          <t>Total Nilai Aset</t>
        </is>
      </c>
      <c r="B44" s="7">
        <f>Dashboard!B8</f>
        <v/>
      </c>
      <c r="C44" s="8" t="n"/>
      <c r="D44" s="8" t="n"/>
    </row>
    <row r="45">
      <c r="A45" s="65" t="inlineStr">
        <is>
          <t>Kekayaan Bersih (Net Worth)</t>
        </is>
      </c>
      <c r="B45" s="7">
        <f>Dashboard!B9</f>
        <v/>
      </c>
      <c r="C45" s="8" t="n"/>
      <c r="D45" s="8" t="n"/>
    </row>
    <row r="46">
      <c r="A46" s="65" t="inlineStr">
        <is>
          <t>Runway (bulan bertahan)</t>
        </is>
      </c>
      <c r="B46" s="66">
        <f>IF(B41&gt;0,B43/B41,0)</f>
        <v/>
      </c>
      <c r="C46" s="8" t="n"/>
      <c r="D46" s="8" t="n"/>
    </row>
    <row r="47">
      <c r="A47" s="65" t="inlineStr">
        <is>
          <t>Estimasi Zakat Mal/tahun</t>
        </is>
      </c>
      <c r="B47" s="7">
        <f>IF(Dashboard!B9&gt;=Config!B9,Dashboard!B9*0.025,0)</f>
        <v/>
      </c>
      <c r="C47" s="8" t="n"/>
      <c r="D47" s="8" t="n"/>
    </row>
    <row r="48">
      <c r="A48" s="65" t="inlineStr">
        <is>
          <t>PPh 21 Estimasi/tahun</t>
        </is>
      </c>
      <c r="B48" s="7">
        <f>IF(B40*12&gt;Config!B3,IF(B40*12-Config!B3&lt;=60000000,(B40*12-Config!B3)*0.05,(B40*12-Config!B3)*0.15),0)</f>
        <v/>
      </c>
      <c r="C48" s="8" t="n"/>
      <c r="D48" s="8" t="n"/>
    </row>
    <row r="50">
      <c r="A50" s="67" t="inlineStr">
        <is>
          <t>REFERENSI BPJS &amp; PAJAK</t>
        </is>
      </c>
      <c r="B50" s="68" t="n"/>
      <c r="C50" s="68" t="n"/>
      <c r="D50" s="68" t="n"/>
    </row>
    <row r="51">
      <c r="A51" s="69" t="inlineStr">
        <is>
          <t>BPJS Kesehatan Kelas 1</t>
        </is>
      </c>
      <c r="B51" s="69" t="inlineStr">
        <is>
          <t>Rp 150,000/bulan</t>
        </is>
      </c>
      <c r="C51" s="69" t="inlineStr">
        <is>
          <t>Wajib</t>
        </is>
      </c>
      <c r="D51" s="69" t="inlineStr">
        <is>
          <t>Perlindungan kesehatan</t>
        </is>
      </c>
    </row>
    <row r="52">
      <c r="A52" s="58" t="inlineStr">
        <is>
          <t>BPJS Kesehatan Kelas 2</t>
        </is>
      </c>
      <c r="B52" s="58" t="inlineStr">
        <is>
          <t>Rp 100,000/bulan</t>
        </is>
      </c>
      <c r="C52" s="58" t="inlineStr">
        <is>
          <t>Wajib</t>
        </is>
      </c>
      <c r="D52" s="58" t="inlineStr">
        <is>
          <t>Perlindungan kesehatan</t>
        </is>
      </c>
    </row>
    <row r="53">
      <c r="A53" s="69" t="inlineStr">
        <is>
          <t>BPJS Kesehatan Kelas 3</t>
        </is>
      </c>
      <c r="B53" s="69" t="inlineStr">
        <is>
          <t>Rp 35,000/bulan</t>
        </is>
      </c>
      <c r="C53" s="69" t="inlineStr">
        <is>
          <t>Wajib</t>
        </is>
      </c>
      <c r="D53" s="69" t="inlineStr">
        <is>
          <t>Perlindungan kesehatan</t>
        </is>
      </c>
    </row>
    <row r="54">
      <c r="A54" s="58" t="inlineStr">
        <is>
          <t>BPJS JHT (karyawan)</t>
        </is>
      </c>
      <c r="B54" s="58" t="inlineStr">
        <is>
          <t>2% gaji (Anda) + 3.7% (perusahaan)</t>
        </is>
      </c>
      <c r="C54" s="58" t="inlineStr">
        <is>
          <t>Wajib</t>
        </is>
      </c>
      <c r="D54" s="58" t="inlineStr">
        <is>
          <t>Tabungan pensiun, cair usia 56</t>
        </is>
      </c>
    </row>
    <row r="55">
      <c r="A55" s="69" t="inlineStr">
        <is>
          <t>BPJS JP (karyawan)</t>
        </is>
      </c>
      <c r="B55" s="69" t="inlineStr">
        <is>
          <t>1% gaji (Anda) + 2% (perusahaan)</t>
        </is>
      </c>
      <c r="C55" s="69" t="inlineStr">
        <is>
          <t>Wajib</t>
        </is>
      </c>
      <c r="D55" s="69" t="inlineStr">
        <is>
          <t>Pensiun bulanan usia 56</t>
        </is>
      </c>
    </row>
    <row r="56">
      <c r="A56" s="58" t="inlineStr">
        <is>
          <t>DPLK (sukarela)</t>
        </is>
      </c>
      <c r="B56" s="58" t="inlineStr">
        <is>
          <t>Max 5% gaji = pengurang pajak</t>
        </is>
      </c>
      <c r="C56" s="58" t="inlineStr">
        <is>
          <t>Opsional</t>
        </is>
      </c>
      <c r="D56" s="58" t="inlineStr">
        <is>
          <t>Tambahan pensiun, hemat pajak</t>
        </is>
      </c>
    </row>
    <row r="57">
      <c r="A57" s="69" t="inlineStr">
        <is>
          <t>PPh 21 Bracket 1</t>
        </is>
      </c>
      <c r="B57" s="69" t="inlineStr">
        <is>
          <t>5% (s/d Rp 60jt/thn)</t>
        </is>
      </c>
      <c r="C57" s="69" t="inlineStr">
        <is>
          <t>Otomatis</t>
        </is>
      </c>
      <c r="D57" s="69" t="inlineStr">
        <is>
          <t>PTKP TK/0: Rp 54jt</t>
        </is>
      </c>
    </row>
    <row r="58">
      <c r="A58" s="58" t="inlineStr">
        <is>
          <t>PPh 21 Bracket 2</t>
        </is>
      </c>
      <c r="B58" s="58" t="inlineStr">
        <is>
          <t>15% (Rp 60-250jt/thn)</t>
        </is>
      </c>
      <c r="C58" s="58" t="inlineStr">
        <is>
          <t>Otomatis</t>
        </is>
      </c>
      <c r="D58" s="58" t="inlineStr">
        <is>
          <t>PTKP K/0: Rp 58.5jt</t>
        </is>
      </c>
    </row>
  </sheetData>
  <mergeCells count="22">
    <mergeCell ref="G38:I38"/>
    <mergeCell ref="A17:D17"/>
    <mergeCell ref="G37:I37"/>
    <mergeCell ref="A4:D4"/>
    <mergeCell ref="A38:D38"/>
    <mergeCell ref="G34:I34"/>
    <mergeCell ref="G33:I33"/>
    <mergeCell ref="A2:I2"/>
    <mergeCell ref="F4:I4"/>
    <mergeCell ref="G35:I35"/>
    <mergeCell ref="F19:I19"/>
    <mergeCell ref="G32:I32"/>
    <mergeCell ref="G41:I41"/>
    <mergeCell ref="G31:I31"/>
    <mergeCell ref="F30:I30"/>
    <mergeCell ref="G40:I40"/>
    <mergeCell ref="A25:D25"/>
    <mergeCell ref="G36:I36"/>
    <mergeCell ref="G42:I42"/>
    <mergeCell ref="A50:D50"/>
    <mergeCell ref="A1:I1"/>
    <mergeCell ref="G39:I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8" customWidth="1" min="4" max="4"/>
    <col width="15" customWidth="1" min="5" max="5"/>
    <col width="25" customWidth="1" min="6" max="6"/>
    <col width="12" customWidth="1" min="7" max="7"/>
  </cols>
  <sheetData>
    <row r="1" ht="35" customHeight="1">
      <c r="A1" s="70" t="inlineStr">
        <is>
          <t>SPENDING TRACKER</t>
        </is>
      </c>
    </row>
    <row r="2">
      <c r="A2" s="4" t="inlineStr">
        <is>
          <t>Date</t>
        </is>
      </c>
      <c r="B2" s="4" t="inlineStr">
        <is>
          <t>Description</t>
        </is>
      </c>
      <c r="C2" s="4" t="inlineStr">
        <is>
          <t>Category</t>
        </is>
      </c>
      <c r="D2" s="4" t="inlineStr">
        <is>
          <t>Payment Method</t>
        </is>
      </c>
      <c r="E2" s="4" t="inlineStr">
        <is>
          <t>Amount</t>
        </is>
      </c>
      <c r="F2" s="4" t="inlineStr">
        <is>
          <t>Notes</t>
        </is>
      </c>
      <c r="G2" s="4" t="inlineStr">
        <is>
          <t>Month</t>
        </is>
      </c>
    </row>
    <row r="3">
      <c r="A3" s="71" t="n">
        <v>46027</v>
      </c>
      <c r="B3" s="8" t="inlineStr">
        <is>
          <t>Weekly groceries</t>
        </is>
      </c>
      <c r="C3" s="8" t="inlineStr">
        <is>
          <t>Food &amp; Groceries</t>
        </is>
      </c>
      <c r="D3" s="8" t="inlineStr">
        <is>
          <t>Debit Card</t>
        </is>
      </c>
      <c r="E3" s="14" t="n">
        <v>85000</v>
      </c>
      <c r="F3" s="8" t="inlineStr">
        <is>
          <t>Supermarket</t>
        </is>
      </c>
      <c r="G3" s="72">
        <f>IF(A3&lt;&gt;"",TEXT(A3,"YYYY-MM"),"")</f>
        <v/>
      </c>
    </row>
    <row r="4">
      <c r="A4" s="71" t="n">
        <v>46028</v>
      </c>
      <c r="B4" s="8" t="inlineStr">
        <is>
          <t>Bus pass monthly</t>
        </is>
      </c>
      <c r="C4" s="8" t="inlineStr">
        <is>
          <t>Transportation</t>
        </is>
      </c>
      <c r="D4" s="8" t="inlineStr">
        <is>
          <t>E-Wallet</t>
        </is>
      </c>
      <c r="E4" s="14" t="n">
        <v>50000</v>
      </c>
      <c r="F4" s="8" t="inlineStr">
        <is>
          <t>Monthly pass</t>
        </is>
      </c>
      <c r="G4" s="72">
        <f>IF(A4&lt;&gt;"",TEXT(A4,"YYYY-MM"),"")</f>
        <v/>
      </c>
    </row>
    <row r="5">
      <c r="A5" s="71" t="n">
        <v>46029</v>
      </c>
      <c r="B5" s="8" t="inlineStr">
        <is>
          <t>Netflix subscription</t>
        </is>
      </c>
      <c r="C5" s="8" t="inlineStr">
        <is>
          <t>Entertainment</t>
        </is>
      </c>
      <c r="D5" s="8" t="inlineStr">
        <is>
          <t>Credit Card</t>
        </is>
      </c>
      <c r="E5" s="14" t="n">
        <v>54000</v>
      </c>
      <c r="F5" s="8" t="inlineStr">
        <is>
          <t>Monthly</t>
        </is>
      </c>
      <c r="G5" s="72">
        <f>IF(A5&lt;&gt;"",TEXT(A5,"YYYY-MM"),"")</f>
        <v/>
      </c>
    </row>
    <row r="6">
      <c r="A6" s="71" t="n"/>
      <c r="B6" s="8" t="n"/>
      <c r="C6" s="8" t="n"/>
      <c r="D6" s="8" t="n"/>
      <c r="E6" s="14" t="n"/>
      <c r="F6" s="8" t="n"/>
      <c r="G6" s="72">
        <f>IF(A6&lt;&gt;"",TEXT(A6,"YYYY-MM"),"")</f>
        <v/>
      </c>
    </row>
    <row r="7">
      <c r="A7" s="71" t="n"/>
      <c r="B7" s="8" t="n"/>
      <c r="C7" s="8" t="n"/>
      <c r="D7" s="8" t="n"/>
      <c r="E7" s="14" t="n"/>
      <c r="F7" s="8" t="n"/>
      <c r="G7" s="72">
        <f>IF(A7&lt;&gt;"",TEXT(A7,"YYYY-MM"),"")</f>
        <v/>
      </c>
    </row>
    <row r="8">
      <c r="A8" s="71" t="n"/>
      <c r="B8" s="8" t="n"/>
      <c r="C8" s="8" t="n"/>
      <c r="D8" s="8" t="n"/>
      <c r="E8" s="14" t="n"/>
      <c r="F8" s="8" t="n"/>
      <c r="G8" s="72">
        <f>IF(A8&lt;&gt;"",TEXT(A8,"YYYY-MM"),"")</f>
        <v/>
      </c>
    </row>
    <row r="9">
      <c r="A9" s="71" t="n"/>
      <c r="B9" s="8" t="n"/>
      <c r="C9" s="8" t="n"/>
      <c r="D9" s="8" t="n"/>
      <c r="E9" s="14" t="n"/>
      <c r="F9" s="8" t="n"/>
      <c r="G9" s="72">
        <f>IF(A9&lt;&gt;"",TEXT(A9,"YYYY-MM"),"")</f>
        <v/>
      </c>
    </row>
    <row r="10">
      <c r="A10" s="71" t="n"/>
      <c r="B10" s="8" t="n"/>
      <c r="C10" s="8" t="n"/>
      <c r="D10" s="8" t="n"/>
      <c r="E10" s="14" t="n"/>
      <c r="F10" s="8" t="n"/>
      <c r="G10" s="72">
        <f>IF(A10&lt;&gt;"",TEXT(A10,"YYYY-MM"),"")</f>
        <v/>
      </c>
    </row>
    <row r="11">
      <c r="A11" s="71" t="n"/>
      <c r="B11" s="8" t="n"/>
      <c r="C11" s="8" t="n"/>
      <c r="D11" s="8" t="n"/>
      <c r="E11" s="14" t="n"/>
      <c r="F11" s="8" t="n"/>
      <c r="G11" s="72">
        <f>IF(A11&lt;&gt;"",TEXT(A11,"YYYY-MM"),"")</f>
        <v/>
      </c>
    </row>
    <row r="12">
      <c r="A12" s="71" t="n"/>
      <c r="B12" s="8" t="n"/>
      <c r="C12" s="8" t="n"/>
      <c r="D12" s="8" t="n"/>
      <c r="E12" s="14" t="n"/>
      <c r="F12" s="8" t="n"/>
      <c r="G12" s="72">
        <f>IF(A12&lt;&gt;"",TEXT(A12,"YYYY-MM"),"")</f>
        <v/>
      </c>
    </row>
    <row r="13">
      <c r="A13" s="71" t="n"/>
      <c r="B13" s="8" t="n"/>
      <c r="C13" s="8" t="n"/>
      <c r="D13" s="8" t="n"/>
      <c r="E13" s="14" t="n"/>
      <c r="F13" s="8" t="n"/>
      <c r="G13" s="72">
        <f>IF(A13&lt;&gt;"",TEXT(A13,"YYYY-MM"),"")</f>
        <v/>
      </c>
    </row>
    <row r="14">
      <c r="A14" s="71" t="n"/>
      <c r="B14" s="8" t="n"/>
      <c r="C14" s="8" t="n"/>
      <c r="D14" s="8" t="n"/>
      <c r="E14" s="14" t="n"/>
      <c r="F14" s="8" t="n"/>
      <c r="G14" s="72">
        <f>IF(A14&lt;&gt;"",TEXT(A14,"YYYY-MM"),"")</f>
        <v/>
      </c>
    </row>
    <row r="15">
      <c r="A15" s="71" t="n"/>
      <c r="B15" s="8" t="n"/>
      <c r="C15" s="8" t="n"/>
      <c r="D15" s="8" t="n"/>
      <c r="E15" s="14" t="n"/>
      <c r="F15" s="8" t="n"/>
      <c r="G15" s="72">
        <f>IF(A15&lt;&gt;"",TEXT(A15,"YYYY-MM"),"")</f>
        <v/>
      </c>
    </row>
    <row r="16">
      <c r="A16" s="71" t="n"/>
      <c r="B16" s="8" t="n"/>
      <c r="C16" s="8" t="n"/>
      <c r="D16" s="8" t="n"/>
      <c r="E16" s="14" t="n"/>
      <c r="F16" s="8" t="n"/>
      <c r="G16" s="72">
        <f>IF(A16&lt;&gt;"",TEXT(A16,"YYYY-MM"),"")</f>
        <v/>
      </c>
    </row>
    <row r="17">
      <c r="A17" s="71" t="n"/>
      <c r="B17" s="8" t="n"/>
      <c r="C17" s="8" t="n"/>
      <c r="D17" s="8" t="n"/>
      <c r="E17" s="14" t="n"/>
      <c r="F17" s="8" t="n"/>
      <c r="G17" s="72">
        <f>IF(A17&lt;&gt;"",TEXT(A17,"YYYY-MM"),"")</f>
        <v/>
      </c>
    </row>
    <row r="18">
      <c r="A18" s="71" t="n"/>
      <c r="B18" s="8" t="n"/>
      <c r="C18" s="8" t="n"/>
      <c r="D18" s="8" t="n"/>
      <c r="E18" s="14" t="n"/>
      <c r="F18" s="8" t="n"/>
      <c r="G18" s="72">
        <f>IF(A18&lt;&gt;"",TEXT(A18,"YYYY-MM"),"")</f>
        <v/>
      </c>
    </row>
    <row r="19">
      <c r="A19" s="71" t="n"/>
      <c r="B19" s="8" t="n"/>
      <c r="C19" s="8" t="n"/>
      <c r="D19" s="8" t="n"/>
      <c r="E19" s="14" t="n"/>
      <c r="F19" s="8" t="n"/>
      <c r="G19" s="72">
        <f>IF(A19&lt;&gt;"",TEXT(A19,"YYYY-MM"),"")</f>
        <v/>
      </c>
    </row>
    <row r="20">
      <c r="A20" s="71" t="n"/>
      <c r="B20" s="8" t="n"/>
      <c r="C20" s="8" t="n"/>
      <c r="D20" s="8" t="n"/>
      <c r="E20" s="14" t="n"/>
      <c r="F20" s="8" t="n"/>
      <c r="G20" s="72">
        <f>IF(A20&lt;&gt;"",TEXT(A20,"YYYY-MM"),"")</f>
        <v/>
      </c>
    </row>
    <row r="21">
      <c r="A21" s="71" t="n"/>
      <c r="B21" s="8" t="n"/>
      <c r="C21" s="8" t="n"/>
      <c r="D21" s="8" t="n"/>
      <c r="E21" s="14" t="n"/>
      <c r="F21" s="8" t="n"/>
      <c r="G21" s="72">
        <f>IF(A21&lt;&gt;"",TEXT(A21,"YYYY-MM"),"")</f>
        <v/>
      </c>
    </row>
    <row r="22">
      <c r="A22" s="71" t="n"/>
      <c r="B22" s="8" t="n"/>
      <c r="C22" s="8" t="n"/>
      <c r="D22" s="8" t="n"/>
      <c r="E22" s="14" t="n"/>
      <c r="F22" s="8" t="n"/>
      <c r="G22" s="72">
        <f>IF(A22&lt;&gt;"",TEXT(A22,"YYYY-MM"),"")</f>
        <v/>
      </c>
    </row>
    <row r="23">
      <c r="A23" s="71" t="n"/>
      <c r="B23" s="8" t="n"/>
      <c r="C23" s="8" t="n"/>
      <c r="D23" s="8" t="n"/>
      <c r="E23" s="14" t="n"/>
      <c r="F23" s="8" t="n"/>
      <c r="G23" s="72">
        <f>IF(A23&lt;&gt;"",TEXT(A23,"YYYY-MM"),"")</f>
        <v/>
      </c>
    </row>
    <row r="24">
      <c r="A24" s="71" t="n"/>
      <c r="B24" s="8" t="n"/>
      <c r="C24" s="8" t="n"/>
      <c r="D24" s="8" t="n"/>
      <c r="E24" s="14" t="n"/>
      <c r="F24" s="8" t="n"/>
      <c r="G24" s="72">
        <f>IF(A24&lt;&gt;"",TEXT(A24,"YYYY-MM"),"")</f>
        <v/>
      </c>
    </row>
    <row r="25">
      <c r="A25" s="71" t="n"/>
      <c r="B25" s="8" t="n"/>
      <c r="C25" s="8" t="n"/>
      <c r="D25" s="8" t="n"/>
      <c r="E25" s="14" t="n"/>
      <c r="F25" s="8" t="n"/>
      <c r="G25" s="72">
        <f>IF(A25&lt;&gt;"",TEXT(A25,"YYYY-MM"),"")</f>
        <v/>
      </c>
    </row>
    <row r="26">
      <c r="A26" s="71" t="n"/>
      <c r="B26" s="8" t="n"/>
      <c r="C26" s="8" t="n"/>
      <c r="D26" s="8" t="n"/>
      <c r="E26" s="14" t="n"/>
      <c r="F26" s="8" t="n"/>
      <c r="G26" s="72">
        <f>IF(A26&lt;&gt;"",TEXT(A26,"YYYY-MM"),"")</f>
        <v/>
      </c>
    </row>
    <row r="27">
      <c r="A27" s="71" t="n"/>
      <c r="B27" s="8" t="n"/>
      <c r="C27" s="8" t="n"/>
      <c r="D27" s="8" t="n"/>
      <c r="E27" s="14" t="n"/>
      <c r="F27" s="8" t="n"/>
      <c r="G27" s="72">
        <f>IF(A27&lt;&gt;"",TEXT(A27,"YYYY-MM"),"")</f>
        <v/>
      </c>
    </row>
    <row r="28">
      <c r="A28" s="71" t="n"/>
      <c r="B28" s="8" t="n"/>
      <c r="C28" s="8" t="n"/>
      <c r="D28" s="8" t="n"/>
      <c r="E28" s="14" t="n"/>
      <c r="F28" s="8" t="n"/>
      <c r="G28" s="72">
        <f>IF(A28&lt;&gt;"",TEXT(A28,"YYYY-MM"),"")</f>
        <v/>
      </c>
    </row>
    <row r="29">
      <c r="A29" s="71" t="n"/>
      <c r="B29" s="8" t="n"/>
      <c r="C29" s="8" t="n"/>
      <c r="D29" s="8" t="n"/>
      <c r="E29" s="14" t="n"/>
      <c r="F29" s="8" t="n"/>
      <c r="G29" s="72">
        <f>IF(A29&lt;&gt;"",TEXT(A29,"YYYY-MM"),"")</f>
        <v/>
      </c>
    </row>
    <row r="30">
      <c r="A30" s="71" t="n"/>
      <c r="B30" s="8" t="n"/>
      <c r="C30" s="8" t="n"/>
      <c r="D30" s="8" t="n"/>
      <c r="E30" s="14" t="n"/>
      <c r="F30" s="8" t="n"/>
      <c r="G30" s="72">
        <f>IF(A30&lt;&gt;"",TEXT(A30,"YYYY-MM"),"")</f>
        <v/>
      </c>
    </row>
    <row r="31">
      <c r="A31" s="71" t="n"/>
      <c r="B31" s="8" t="n"/>
      <c r="C31" s="8" t="n"/>
      <c r="D31" s="8" t="n"/>
      <c r="E31" s="14" t="n"/>
      <c r="F31" s="8" t="n"/>
      <c r="G31" s="72">
        <f>IF(A31&lt;&gt;"",TEXT(A31,"YYYY-MM"),"")</f>
        <v/>
      </c>
    </row>
    <row r="32">
      <c r="A32" s="71" t="n"/>
      <c r="B32" s="8" t="n"/>
      <c r="C32" s="8" t="n"/>
      <c r="D32" s="8" t="n"/>
      <c r="E32" s="14" t="n"/>
      <c r="F32" s="8" t="n"/>
      <c r="G32" s="72">
        <f>IF(A32&lt;&gt;"",TEXT(A32,"YYYY-MM"),"")</f>
        <v/>
      </c>
    </row>
    <row r="33">
      <c r="A33" s="71" t="n"/>
      <c r="B33" s="8" t="n"/>
      <c r="C33" s="8" t="n"/>
      <c r="D33" s="8" t="n"/>
      <c r="E33" s="14" t="n"/>
      <c r="F33" s="8" t="n"/>
      <c r="G33" s="72">
        <f>IF(A33&lt;&gt;"",TEXT(A33,"YYYY-MM"),"")</f>
        <v/>
      </c>
    </row>
    <row r="34">
      <c r="A34" s="71" t="n"/>
      <c r="B34" s="8" t="n"/>
      <c r="C34" s="8" t="n"/>
      <c r="D34" s="8" t="n"/>
      <c r="E34" s="14" t="n"/>
      <c r="F34" s="8" t="n"/>
      <c r="G34" s="72">
        <f>IF(A34&lt;&gt;"",TEXT(A34,"YYYY-MM"),"")</f>
        <v/>
      </c>
    </row>
    <row r="35">
      <c r="A35" s="71" t="n"/>
      <c r="B35" s="8" t="n"/>
      <c r="C35" s="8" t="n"/>
      <c r="D35" s="8" t="n"/>
      <c r="E35" s="14" t="n"/>
      <c r="F35" s="8" t="n"/>
      <c r="G35" s="72">
        <f>IF(A35&lt;&gt;"",TEXT(A35,"YYYY-MM"),"")</f>
        <v/>
      </c>
    </row>
    <row r="36">
      <c r="A36" s="71" t="n"/>
      <c r="B36" s="8" t="n"/>
      <c r="C36" s="8" t="n"/>
      <c r="D36" s="8" t="n"/>
      <c r="E36" s="14" t="n"/>
      <c r="F36" s="8" t="n"/>
      <c r="G36" s="72">
        <f>IF(A36&lt;&gt;"",TEXT(A36,"YYYY-MM"),"")</f>
        <v/>
      </c>
    </row>
    <row r="37">
      <c r="A37" s="71" t="n"/>
      <c r="B37" s="8" t="n"/>
      <c r="C37" s="8" t="n"/>
      <c r="D37" s="8" t="n"/>
      <c r="E37" s="14" t="n"/>
      <c r="F37" s="8" t="n"/>
      <c r="G37" s="72">
        <f>IF(A37&lt;&gt;"",TEXT(A37,"YYYY-MM"),"")</f>
        <v/>
      </c>
    </row>
    <row r="38">
      <c r="A38" s="71" t="n"/>
      <c r="B38" s="8" t="n"/>
      <c r="C38" s="8" t="n"/>
      <c r="D38" s="8" t="n"/>
      <c r="E38" s="14" t="n"/>
      <c r="F38" s="8" t="n"/>
      <c r="G38" s="72">
        <f>IF(A38&lt;&gt;"",TEXT(A38,"YYYY-MM"),"")</f>
        <v/>
      </c>
    </row>
    <row r="39">
      <c r="A39" s="71" t="n"/>
      <c r="B39" s="8" t="n"/>
      <c r="C39" s="8" t="n"/>
      <c r="D39" s="8" t="n"/>
      <c r="E39" s="14" t="n"/>
      <c r="F39" s="8" t="n"/>
      <c r="G39" s="72">
        <f>IF(A39&lt;&gt;"",TEXT(A39,"YYYY-MM"),"")</f>
        <v/>
      </c>
    </row>
    <row r="40">
      <c r="A40" s="71" t="n"/>
      <c r="B40" s="8" t="n"/>
      <c r="C40" s="8" t="n"/>
      <c r="D40" s="8" t="n"/>
      <c r="E40" s="14" t="n"/>
      <c r="F40" s="8" t="n"/>
      <c r="G40" s="72">
        <f>IF(A40&lt;&gt;"",TEXT(A40,"YYYY-MM"),"")</f>
        <v/>
      </c>
    </row>
    <row r="41">
      <c r="A41" s="71" t="n"/>
      <c r="B41" s="8" t="n"/>
      <c r="C41" s="8" t="n"/>
      <c r="D41" s="8" t="n"/>
      <c r="E41" s="14" t="n"/>
      <c r="F41" s="8" t="n"/>
      <c r="G41" s="72">
        <f>IF(A41&lt;&gt;"",TEXT(A41,"YYYY-MM"),"")</f>
        <v/>
      </c>
    </row>
    <row r="42">
      <c r="A42" s="71" t="n"/>
      <c r="B42" s="8" t="n"/>
      <c r="C42" s="8" t="n"/>
      <c r="D42" s="8" t="n"/>
      <c r="E42" s="14" t="n"/>
      <c r="F42" s="8" t="n"/>
      <c r="G42" s="72">
        <f>IF(A42&lt;&gt;"",TEXT(A42,"YYYY-MM"),"")</f>
        <v/>
      </c>
    </row>
    <row r="43">
      <c r="A43" s="71" t="n"/>
      <c r="B43" s="8" t="n"/>
      <c r="C43" s="8" t="n"/>
      <c r="D43" s="8" t="n"/>
      <c r="E43" s="14" t="n"/>
      <c r="F43" s="8" t="n"/>
      <c r="G43" s="72">
        <f>IF(A43&lt;&gt;"",TEXT(A43,"YYYY-MM"),"")</f>
        <v/>
      </c>
    </row>
    <row r="44">
      <c r="A44" s="71" t="n"/>
      <c r="B44" s="8" t="n"/>
      <c r="C44" s="8" t="n"/>
      <c r="D44" s="8" t="n"/>
      <c r="E44" s="14" t="n"/>
      <c r="F44" s="8" t="n"/>
      <c r="G44" s="72">
        <f>IF(A44&lt;&gt;"",TEXT(A44,"YYYY-MM"),"")</f>
        <v/>
      </c>
    </row>
    <row r="45">
      <c r="A45" s="71" t="n"/>
      <c r="B45" s="8" t="n"/>
      <c r="C45" s="8" t="n"/>
      <c r="D45" s="8" t="n"/>
      <c r="E45" s="14" t="n"/>
      <c r="F45" s="8" t="n"/>
      <c r="G45" s="72">
        <f>IF(A45&lt;&gt;"",TEXT(A45,"YYYY-MM"),"")</f>
        <v/>
      </c>
    </row>
    <row r="46">
      <c r="A46" s="71" t="n"/>
      <c r="B46" s="8" t="n"/>
      <c r="C46" s="8" t="n"/>
      <c r="D46" s="8" t="n"/>
      <c r="E46" s="14" t="n"/>
      <c r="F46" s="8" t="n"/>
      <c r="G46" s="72">
        <f>IF(A46&lt;&gt;"",TEXT(A46,"YYYY-MM"),"")</f>
        <v/>
      </c>
    </row>
    <row r="47">
      <c r="A47" s="71" t="n"/>
      <c r="B47" s="8" t="n"/>
      <c r="C47" s="8" t="n"/>
      <c r="D47" s="8" t="n"/>
      <c r="E47" s="14" t="n"/>
      <c r="F47" s="8" t="n"/>
      <c r="G47" s="72">
        <f>IF(A47&lt;&gt;"",TEXT(A47,"YYYY-MM"),"")</f>
        <v/>
      </c>
    </row>
    <row r="48">
      <c r="A48" s="71" t="n"/>
      <c r="B48" s="8" t="n"/>
      <c r="C48" s="8" t="n"/>
      <c r="D48" s="8" t="n"/>
      <c r="E48" s="14" t="n"/>
      <c r="F48" s="8" t="n"/>
      <c r="G48" s="72">
        <f>IF(A48&lt;&gt;"",TEXT(A48,"YYYY-MM"),"")</f>
        <v/>
      </c>
    </row>
    <row r="49">
      <c r="A49" s="71" t="n"/>
      <c r="B49" s="8" t="n"/>
      <c r="C49" s="8" t="n"/>
      <c r="D49" s="8" t="n"/>
      <c r="E49" s="14" t="n"/>
      <c r="F49" s="8" t="n"/>
      <c r="G49" s="72">
        <f>IF(A49&lt;&gt;"",TEXT(A49,"YYYY-MM"),"")</f>
        <v/>
      </c>
    </row>
    <row r="50">
      <c r="A50" s="71" t="n"/>
      <c r="B50" s="8" t="n"/>
      <c r="C50" s="8" t="n"/>
      <c r="D50" s="8" t="n"/>
      <c r="E50" s="14" t="n"/>
      <c r="F50" s="8" t="n"/>
      <c r="G50" s="72">
        <f>IF(A50&lt;&gt;"",TEXT(A50,"YYYY-MM"),"")</f>
        <v/>
      </c>
    </row>
    <row r="51">
      <c r="A51" s="71" t="n"/>
      <c r="B51" s="8" t="n"/>
      <c r="C51" s="8" t="n"/>
      <c r="D51" s="8" t="n"/>
      <c r="E51" s="14" t="n"/>
      <c r="F51" s="8" t="n"/>
      <c r="G51" s="72">
        <f>IF(A51&lt;&gt;"",TEXT(A51,"YYYY-MM"),"")</f>
        <v/>
      </c>
    </row>
    <row r="52">
      <c r="A52" s="71" t="n"/>
      <c r="B52" s="8" t="n"/>
      <c r="C52" s="8" t="n"/>
      <c r="D52" s="8" t="n"/>
      <c r="E52" s="14" t="n"/>
      <c r="F52" s="8" t="n"/>
      <c r="G52" s="72">
        <f>IF(A52&lt;&gt;"",TEXT(A52,"YYYY-MM"),"")</f>
        <v/>
      </c>
    </row>
    <row r="53">
      <c r="A53" s="71" t="n"/>
      <c r="B53" s="8" t="n"/>
      <c r="C53" s="8" t="n"/>
      <c r="D53" s="8" t="n"/>
      <c r="E53" s="14" t="n"/>
      <c r="F53" s="8" t="n"/>
      <c r="G53" s="72">
        <f>IF(A53&lt;&gt;"",TEXT(A53,"YYYY-MM"),"")</f>
        <v/>
      </c>
    </row>
    <row r="54">
      <c r="A54" s="71" t="n"/>
      <c r="B54" s="8" t="n"/>
      <c r="C54" s="8" t="n"/>
      <c r="D54" s="8" t="n"/>
      <c r="E54" s="14" t="n"/>
      <c r="F54" s="8" t="n"/>
      <c r="G54" s="72">
        <f>IF(A54&lt;&gt;"",TEXT(A54,"YYYY-MM"),"")</f>
        <v/>
      </c>
    </row>
    <row r="55">
      <c r="A55" s="71" t="n"/>
      <c r="B55" s="8" t="n"/>
      <c r="C55" s="8" t="n"/>
      <c r="D55" s="8" t="n"/>
      <c r="E55" s="14" t="n"/>
      <c r="F55" s="8" t="n"/>
      <c r="G55" s="72">
        <f>IF(A55&lt;&gt;"",TEXT(A55,"YYYY-MM"),"")</f>
        <v/>
      </c>
    </row>
    <row r="56">
      <c r="A56" s="71" t="n"/>
      <c r="B56" s="8" t="n"/>
      <c r="C56" s="8" t="n"/>
      <c r="D56" s="8" t="n"/>
      <c r="E56" s="14" t="n"/>
      <c r="F56" s="8" t="n"/>
      <c r="G56" s="72">
        <f>IF(A56&lt;&gt;"",TEXT(A56,"YYYY-MM"),"")</f>
        <v/>
      </c>
    </row>
    <row r="57">
      <c r="A57" s="71" t="n"/>
      <c r="B57" s="8" t="n"/>
      <c r="C57" s="8" t="n"/>
      <c r="D57" s="8" t="n"/>
      <c r="E57" s="14" t="n"/>
      <c r="F57" s="8" t="n"/>
      <c r="G57" s="72">
        <f>IF(A57&lt;&gt;"",TEXT(A57,"YYYY-MM"),"")</f>
        <v/>
      </c>
    </row>
    <row r="58">
      <c r="A58" s="71" t="n"/>
      <c r="B58" s="8" t="n"/>
      <c r="C58" s="8" t="n"/>
      <c r="D58" s="8" t="n"/>
      <c r="E58" s="14" t="n"/>
      <c r="F58" s="8" t="n"/>
      <c r="G58" s="72">
        <f>IF(A58&lt;&gt;"",TEXT(A58,"YYYY-MM"),"")</f>
        <v/>
      </c>
    </row>
    <row r="59">
      <c r="A59" s="71" t="n"/>
      <c r="B59" s="8" t="n"/>
      <c r="C59" s="8" t="n"/>
      <c r="D59" s="8" t="n"/>
      <c r="E59" s="14" t="n"/>
      <c r="F59" s="8" t="n"/>
      <c r="G59" s="72">
        <f>IF(A59&lt;&gt;"",TEXT(A59,"YYYY-MM"),"")</f>
        <v/>
      </c>
    </row>
    <row r="60">
      <c r="A60" s="71" t="n"/>
      <c r="B60" s="8" t="n"/>
      <c r="C60" s="8" t="n"/>
      <c r="D60" s="8" t="n"/>
      <c r="E60" s="14" t="n"/>
      <c r="F60" s="8" t="n"/>
      <c r="G60" s="72">
        <f>IF(A60&lt;&gt;"",TEXT(A60,"YYYY-MM"),"")</f>
        <v/>
      </c>
    </row>
    <row r="61">
      <c r="A61" s="71" t="n"/>
      <c r="B61" s="8" t="n"/>
      <c r="C61" s="8" t="n"/>
      <c r="D61" s="8" t="n"/>
      <c r="E61" s="14" t="n"/>
      <c r="F61" s="8" t="n"/>
      <c r="G61" s="72">
        <f>IF(A61&lt;&gt;"",TEXT(A61,"YYYY-MM"),"")</f>
        <v/>
      </c>
    </row>
    <row r="62">
      <c r="A62" s="71" t="n"/>
      <c r="B62" s="8" t="n"/>
      <c r="C62" s="8" t="n"/>
      <c r="D62" s="8" t="n"/>
      <c r="E62" s="14" t="n"/>
      <c r="F62" s="8" t="n"/>
      <c r="G62" s="72">
        <f>IF(A62&lt;&gt;"",TEXT(A62,"YYYY-MM"),"")</f>
        <v/>
      </c>
    </row>
    <row r="63">
      <c r="A63" s="71" t="n"/>
      <c r="B63" s="8" t="n"/>
      <c r="C63" s="8" t="n"/>
      <c r="D63" s="8" t="n"/>
      <c r="E63" s="14" t="n"/>
      <c r="F63" s="8" t="n"/>
      <c r="G63" s="72">
        <f>IF(A63&lt;&gt;"",TEXT(A63,"YYYY-MM"),"")</f>
        <v/>
      </c>
    </row>
    <row r="64">
      <c r="A64" s="71" t="n"/>
      <c r="B64" s="8" t="n"/>
      <c r="C64" s="8" t="n"/>
      <c r="D64" s="8" t="n"/>
      <c r="E64" s="14" t="n"/>
      <c r="F64" s="8" t="n"/>
      <c r="G64" s="72">
        <f>IF(A64&lt;&gt;"",TEXT(A64,"YYYY-MM"),"")</f>
        <v/>
      </c>
    </row>
    <row r="65">
      <c r="A65" s="71" t="n"/>
      <c r="B65" s="8" t="n"/>
      <c r="C65" s="8" t="n"/>
      <c r="D65" s="8" t="n"/>
      <c r="E65" s="14" t="n"/>
      <c r="F65" s="8" t="n"/>
      <c r="G65" s="72">
        <f>IF(A65&lt;&gt;"",TEXT(A65,"YYYY-MM"),"")</f>
        <v/>
      </c>
    </row>
    <row r="66">
      <c r="A66" s="71" t="n"/>
      <c r="B66" s="8" t="n"/>
      <c r="C66" s="8" t="n"/>
      <c r="D66" s="8" t="n"/>
      <c r="E66" s="14" t="n"/>
      <c r="F66" s="8" t="n"/>
      <c r="G66" s="72">
        <f>IF(A66&lt;&gt;"",TEXT(A66,"YYYY-MM"),"")</f>
        <v/>
      </c>
    </row>
    <row r="67">
      <c r="A67" s="71" t="n"/>
      <c r="B67" s="8" t="n"/>
      <c r="C67" s="8" t="n"/>
      <c r="D67" s="8" t="n"/>
      <c r="E67" s="14" t="n"/>
      <c r="F67" s="8" t="n"/>
      <c r="G67" s="72">
        <f>IF(A67&lt;&gt;"",TEXT(A67,"YYYY-MM"),"")</f>
        <v/>
      </c>
    </row>
    <row r="68">
      <c r="A68" s="71" t="n"/>
      <c r="B68" s="8" t="n"/>
      <c r="C68" s="8" t="n"/>
      <c r="D68" s="8" t="n"/>
      <c r="E68" s="14" t="n"/>
      <c r="F68" s="8" t="n"/>
      <c r="G68" s="72">
        <f>IF(A68&lt;&gt;"",TEXT(A68,"YYYY-MM"),"")</f>
        <v/>
      </c>
    </row>
    <row r="69">
      <c r="A69" s="71" t="n"/>
      <c r="B69" s="8" t="n"/>
      <c r="C69" s="8" t="n"/>
      <c r="D69" s="8" t="n"/>
      <c r="E69" s="14" t="n"/>
      <c r="F69" s="8" t="n"/>
      <c r="G69" s="72">
        <f>IF(A69&lt;&gt;"",TEXT(A69,"YYYY-MM"),"")</f>
        <v/>
      </c>
    </row>
    <row r="70">
      <c r="A70" s="71" t="n"/>
      <c r="B70" s="8" t="n"/>
      <c r="C70" s="8" t="n"/>
      <c r="D70" s="8" t="n"/>
      <c r="E70" s="14" t="n"/>
      <c r="F70" s="8" t="n"/>
      <c r="G70" s="72">
        <f>IF(A70&lt;&gt;"",TEXT(A70,"YYYY-MM"),"")</f>
        <v/>
      </c>
    </row>
    <row r="71">
      <c r="A71" s="71" t="n"/>
      <c r="B71" s="8" t="n"/>
      <c r="C71" s="8" t="n"/>
      <c r="D71" s="8" t="n"/>
      <c r="E71" s="14" t="n"/>
      <c r="F71" s="8" t="n"/>
      <c r="G71" s="72">
        <f>IF(A71&lt;&gt;"",TEXT(A71,"YYYY-MM"),"")</f>
        <v/>
      </c>
    </row>
    <row r="72">
      <c r="A72" s="71" t="n"/>
      <c r="B72" s="8" t="n"/>
      <c r="C72" s="8" t="n"/>
      <c r="D72" s="8" t="n"/>
      <c r="E72" s="14" t="n"/>
      <c r="F72" s="8" t="n"/>
      <c r="G72" s="72">
        <f>IF(A72&lt;&gt;"",TEXT(A72,"YYYY-MM"),"")</f>
        <v/>
      </c>
    </row>
    <row r="73">
      <c r="A73" s="71" t="n"/>
      <c r="B73" s="8" t="n"/>
      <c r="C73" s="8" t="n"/>
      <c r="D73" s="8" t="n"/>
      <c r="E73" s="14" t="n"/>
      <c r="F73" s="8" t="n"/>
      <c r="G73" s="72">
        <f>IF(A73&lt;&gt;"",TEXT(A73,"YYYY-MM"),"")</f>
        <v/>
      </c>
    </row>
    <row r="74">
      <c r="A74" s="71" t="n"/>
      <c r="B74" s="8" t="n"/>
      <c r="C74" s="8" t="n"/>
      <c r="D74" s="8" t="n"/>
      <c r="E74" s="14" t="n"/>
      <c r="F74" s="8" t="n"/>
      <c r="G74" s="72">
        <f>IF(A74&lt;&gt;"",TEXT(A74,"YYYY-MM"),"")</f>
        <v/>
      </c>
    </row>
    <row r="75">
      <c r="A75" s="71" t="n"/>
      <c r="B75" s="8" t="n"/>
      <c r="C75" s="8" t="n"/>
      <c r="D75" s="8" t="n"/>
      <c r="E75" s="14" t="n"/>
      <c r="F75" s="8" t="n"/>
      <c r="G75" s="72">
        <f>IF(A75&lt;&gt;"",TEXT(A75,"YYYY-MM"),"")</f>
        <v/>
      </c>
    </row>
    <row r="76">
      <c r="A76" s="71" t="n"/>
      <c r="B76" s="8" t="n"/>
      <c r="C76" s="8" t="n"/>
      <c r="D76" s="8" t="n"/>
      <c r="E76" s="14" t="n"/>
      <c r="F76" s="8" t="n"/>
      <c r="G76" s="72">
        <f>IF(A76&lt;&gt;"",TEXT(A76,"YYYY-MM"),"")</f>
        <v/>
      </c>
    </row>
    <row r="77">
      <c r="A77" s="71" t="n"/>
      <c r="B77" s="8" t="n"/>
      <c r="C77" s="8" t="n"/>
      <c r="D77" s="8" t="n"/>
      <c r="E77" s="14" t="n"/>
      <c r="F77" s="8" t="n"/>
      <c r="G77" s="72">
        <f>IF(A77&lt;&gt;"",TEXT(A77,"YYYY-MM"),"")</f>
        <v/>
      </c>
    </row>
    <row r="78">
      <c r="A78" s="71" t="n"/>
      <c r="B78" s="8" t="n"/>
      <c r="C78" s="8" t="n"/>
      <c r="D78" s="8" t="n"/>
      <c r="E78" s="14" t="n"/>
      <c r="F78" s="8" t="n"/>
      <c r="G78" s="72">
        <f>IF(A78&lt;&gt;"",TEXT(A78,"YYYY-MM"),"")</f>
        <v/>
      </c>
    </row>
    <row r="79">
      <c r="A79" s="71" t="n"/>
      <c r="B79" s="8" t="n"/>
      <c r="C79" s="8" t="n"/>
      <c r="D79" s="8" t="n"/>
      <c r="E79" s="14" t="n"/>
      <c r="F79" s="8" t="n"/>
      <c r="G79" s="72">
        <f>IF(A79&lt;&gt;"",TEXT(A79,"YYYY-MM"),"")</f>
        <v/>
      </c>
    </row>
    <row r="80">
      <c r="A80" s="71" t="n"/>
      <c r="B80" s="8" t="n"/>
      <c r="C80" s="8" t="n"/>
      <c r="D80" s="8" t="n"/>
      <c r="E80" s="14" t="n"/>
      <c r="F80" s="8" t="n"/>
      <c r="G80" s="72">
        <f>IF(A80&lt;&gt;"",TEXT(A80,"YYYY-MM"),"")</f>
        <v/>
      </c>
    </row>
    <row r="81">
      <c r="A81" s="71" t="n"/>
      <c r="B81" s="8" t="n"/>
      <c r="C81" s="8" t="n"/>
      <c r="D81" s="8" t="n"/>
      <c r="E81" s="14" t="n"/>
      <c r="F81" s="8" t="n"/>
      <c r="G81" s="72">
        <f>IF(A81&lt;&gt;"",TEXT(A81,"YYYY-MM"),"")</f>
        <v/>
      </c>
    </row>
    <row r="82">
      <c r="A82" s="71" t="n"/>
      <c r="B82" s="8" t="n"/>
      <c r="C82" s="8" t="n"/>
      <c r="D82" s="8" t="n"/>
      <c r="E82" s="14" t="n"/>
      <c r="F82" s="8" t="n"/>
      <c r="G82" s="72">
        <f>IF(A82&lt;&gt;"",TEXT(A82,"YYYY-MM"),"")</f>
        <v/>
      </c>
    </row>
    <row r="83">
      <c r="A83" s="71" t="n"/>
      <c r="B83" s="8" t="n"/>
      <c r="C83" s="8" t="n"/>
      <c r="D83" s="8" t="n"/>
      <c r="E83" s="14" t="n"/>
      <c r="F83" s="8" t="n"/>
      <c r="G83" s="72">
        <f>IF(A83&lt;&gt;"",TEXT(A83,"YYYY-MM"),"")</f>
        <v/>
      </c>
    </row>
    <row r="84">
      <c r="A84" s="71" t="n"/>
      <c r="B84" s="8" t="n"/>
      <c r="C84" s="8" t="n"/>
      <c r="D84" s="8" t="n"/>
      <c r="E84" s="14" t="n"/>
      <c r="F84" s="8" t="n"/>
      <c r="G84" s="72">
        <f>IF(A84&lt;&gt;"",TEXT(A84,"YYYY-MM"),"")</f>
        <v/>
      </c>
    </row>
    <row r="85">
      <c r="A85" s="71" t="n"/>
      <c r="B85" s="8" t="n"/>
      <c r="C85" s="8" t="n"/>
      <c r="D85" s="8" t="n"/>
      <c r="E85" s="14" t="n"/>
      <c r="F85" s="8" t="n"/>
      <c r="G85" s="72">
        <f>IF(A85&lt;&gt;"",TEXT(A85,"YYYY-MM"),"")</f>
        <v/>
      </c>
    </row>
    <row r="86">
      <c r="A86" s="71" t="n"/>
      <c r="B86" s="8" t="n"/>
      <c r="C86" s="8" t="n"/>
      <c r="D86" s="8" t="n"/>
      <c r="E86" s="14" t="n"/>
      <c r="F86" s="8" t="n"/>
      <c r="G86" s="72">
        <f>IF(A86&lt;&gt;"",TEXT(A86,"YYYY-MM"),"")</f>
        <v/>
      </c>
    </row>
    <row r="87">
      <c r="A87" s="71" t="n"/>
      <c r="B87" s="8" t="n"/>
      <c r="C87" s="8" t="n"/>
      <c r="D87" s="8" t="n"/>
      <c r="E87" s="14" t="n"/>
      <c r="F87" s="8" t="n"/>
      <c r="G87" s="72">
        <f>IF(A87&lt;&gt;"",TEXT(A87,"YYYY-MM"),"")</f>
        <v/>
      </c>
    </row>
    <row r="88">
      <c r="A88" s="71" t="n"/>
      <c r="B88" s="8" t="n"/>
      <c r="C88" s="8" t="n"/>
      <c r="D88" s="8" t="n"/>
      <c r="E88" s="14" t="n"/>
      <c r="F88" s="8" t="n"/>
      <c r="G88" s="72">
        <f>IF(A88&lt;&gt;"",TEXT(A88,"YYYY-MM"),"")</f>
        <v/>
      </c>
    </row>
    <row r="89">
      <c r="A89" s="71" t="n"/>
      <c r="B89" s="8" t="n"/>
      <c r="C89" s="8" t="n"/>
      <c r="D89" s="8" t="n"/>
      <c r="E89" s="14" t="n"/>
      <c r="F89" s="8" t="n"/>
      <c r="G89" s="72">
        <f>IF(A89&lt;&gt;"",TEXT(A89,"YYYY-MM"),"")</f>
        <v/>
      </c>
    </row>
    <row r="90">
      <c r="A90" s="71" t="n"/>
      <c r="B90" s="8" t="n"/>
      <c r="C90" s="8" t="n"/>
      <c r="D90" s="8" t="n"/>
      <c r="E90" s="14" t="n"/>
      <c r="F90" s="8" t="n"/>
      <c r="G90" s="72">
        <f>IF(A90&lt;&gt;"",TEXT(A90,"YYYY-MM"),"")</f>
        <v/>
      </c>
    </row>
    <row r="91">
      <c r="A91" s="71" t="n"/>
      <c r="B91" s="8" t="n"/>
      <c r="C91" s="8" t="n"/>
      <c r="D91" s="8" t="n"/>
      <c r="E91" s="14" t="n"/>
      <c r="F91" s="8" t="n"/>
      <c r="G91" s="72">
        <f>IF(A91&lt;&gt;"",TEXT(A91,"YYYY-MM"),"")</f>
        <v/>
      </c>
    </row>
    <row r="92">
      <c r="A92" s="71" t="n"/>
      <c r="B92" s="8" t="n"/>
      <c r="C92" s="8" t="n"/>
      <c r="D92" s="8" t="n"/>
      <c r="E92" s="14" t="n"/>
      <c r="F92" s="8" t="n"/>
      <c r="G92" s="72">
        <f>IF(A92&lt;&gt;"",TEXT(A92,"YYYY-MM"),"")</f>
        <v/>
      </c>
    </row>
    <row r="93">
      <c r="A93" s="71" t="n"/>
      <c r="B93" s="8" t="n"/>
      <c r="C93" s="8" t="n"/>
      <c r="D93" s="8" t="n"/>
      <c r="E93" s="14" t="n"/>
      <c r="F93" s="8" t="n"/>
      <c r="G93" s="72">
        <f>IF(A93&lt;&gt;"",TEXT(A93,"YYYY-MM"),"")</f>
        <v/>
      </c>
    </row>
    <row r="94">
      <c r="A94" s="71" t="n"/>
      <c r="B94" s="8" t="n"/>
      <c r="C94" s="8" t="n"/>
      <c r="D94" s="8" t="n"/>
      <c r="E94" s="14" t="n"/>
      <c r="F94" s="8" t="n"/>
      <c r="G94" s="72">
        <f>IF(A94&lt;&gt;"",TEXT(A94,"YYYY-MM"),"")</f>
        <v/>
      </c>
    </row>
    <row r="95">
      <c r="A95" s="71" t="n"/>
      <c r="B95" s="8" t="n"/>
      <c r="C95" s="8" t="n"/>
      <c r="D95" s="8" t="n"/>
      <c r="E95" s="14" t="n"/>
      <c r="F95" s="8" t="n"/>
      <c r="G95" s="72">
        <f>IF(A95&lt;&gt;"",TEXT(A95,"YYYY-MM"),"")</f>
        <v/>
      </c>
    </row>
    <row r="96">
      <c r="A96" s="71" t="n"/>
      <c r="B96" s="8" t="n"/>
      <c r="C96" s="8" t="n"/>
      <c r="D96" s="8" t="n"/>
      <c r="E96" s="14" t="n"/>
      <c r="F96" s="8" t="n"/>
      <c r="G96" s="72">
        <f>IF(A96&lt;&gt;"",TEXT(A96,"YYYY-MM"),"")</f>
        <v/>
      </c>
    </row>
    <row r="97">
      <c r="A97" s="71" t="n"/>
      <c r="B97" s="8" t="n"/>
      <c r="C97" s="8" t="n"/>
      <c r="D97" s="8" t="n"/>
      <c r="E97" s="14" t="n"/>
      <c r="F97" s="8" t="n"/>
      <c r="G97" s="72">
        <f>IF(A97&lt;&gt;"",TEXT(A97,"YYYY-MM"),"")</f>
        <v/>
      </c>
    </row>
    <row r="98">
      <c r="A98" s="71" t="n"/>
      <c r="B98" s="8" t="n"/>
      <c r="C98" s="8" t="n"/>
      <c r="D98" s="8" t="n"/>
      <c r="E98" s="14" t="n"/>
      <c r="F98" s="8" t="n"/>
      <c r="G98" s="72">
        <f>IF(A98&lt;&gt;"",TEXT(A98,"YYYY-MM"),"")</f>
        <v/>
      </c>
    </row>
    <row r="99">
      <c r="A99" s="71" t="n"/>
      <c r="B99" s="8" t="n"/>
      <c r="C99" s="8" t="n"/>
      <c r="D99" s="8" t="n"/>
      <c r="E99" s="14" t="n"/>
      <c r="F99" s="8" t="n"/>
      <c r="G99" s="72">
        <f>IF(A99&lt;&gt;"",TEXT(A99,"YYYY-MM"),"")</f>
        <v/>
      </c>
    </row>
    <row r="100">
      <c r="A100" s="71" t="n"/>
      <c r="B100" s="8" t="n"/>
      <c r="C100" s="8" t="n"/>
      <c r="D100" s="8" t="n"/>
      <c r="E100" s="14" t="n"/>
      <c r="F100" s="8" t="n"/>
      <c r="G100" s="72">
        <f>IF(A100&lt;&gt;"",TEXT(A100,"YYYY-MM"),"")</f>
        <v/>
      </c>
    </row>
    <row r="101">
      <c r="A101" s="71" t="n"/>
      <c r="B101" s="8" t="n"/>
      <c r="C101" s="8" t="n"/>
      <c r="D101" s="8" t="n"/>
      <c r="E101" s="14" t="n"/>
      <c r="F101" s="8" t="n"/>
      <c r="G101" s="72">
        <f>IF(A101&lt;&gt;"",TEXT(A101,"YYYY-MM"),"")</f>
        <v/>
      </c>
    </row>
    <row r="102">
      <c r="A102" s="71" t="n"/>
      <c r="B102" s="8" t="n"/>
      <c r="C102" s="8" t="n"/>
      <c r="D102" s="8" t="n"/>
      <c r="E102" s="14" t="n"/>
      <c r="F102" s="8" t="n"/>
      <c r="G102" s="72">
        <f>IF(A102&lt;&gt;"",TEXT(A102,"YYYY-MM"),"")</f>
        <v/>
      </c>
    </row>
    <row r="103">
      <c r="A103" s="71" t="n"/>
      <c r="B103" s="8" t="n"/>
      <c r="C103" s="8" t="n"/>
      <c r="D103" s="8" t="n"/>
      <c r="E103" s="14" t="n"/>
      <c r="F103" s="8" t="n"/>
      <c r="G103" s="72">
        <f>IF(A103&lt;&gt;"",TEXT(A103,"YYYY-MM"),"")</f>
        <v/>
      </c>
    </row>
    <row r="104">
      <c r="A104" s="71" t="n"/>
      <c r="B104" s="8" t="n"/>
      <c r="C104" s="8" t="n"/>
      <c r="D104" s="8" t="n"/>
      <c r="E104" s="14" t="n"/>
      <c r="F104" s="8" t="n"/>
      <c r="G104" s="72">
        <f>IF(A104&lt;&gt;"",TEXT(A104,"YYYY-MM"),"")</f>
        <v/>
      </c>
    </row>
    <row r="105">
      <c r="A105" s="71" t="n"/>
      <c r="B105" s="8" t="n"/>
      <c r="C105" s="8" t="n"/>
      <c r="D105" s="8" t="n"/>
      <c r="E105" s="14" t="n"/>
      <c r="F105" s="8" t="n"/>
      <c r="G105" s="72">
        <f>IF(A105&lt;&gt;"",TEXT(A105,"YYYY-MM"),"")</f>
        <v/>
      </c>
    </row>
    <row r="106">
      <c r="A106" s="71" t="n"/>
      <c r="B106" s="8" t="n"/>
      <c r="C106" s="8" t="n"/>
      <c r="D106" s="8" t="n"/>
      <c r="E106" s="14" t="n"/>
      <c r="F106" s="8" t="n"/>
      <c r="G106" s="72">
        <f>IF(A106&lt;&gt;"",TEXT(A106,"YYYY-MM"),"")</f>
        <v/>
      </c>
    </row>
    <row r="107">
      <c r="A107" s="71" t="n"/>
      <c r="B107" s="8" t="n"/>
      <c r="C107" s="8" t="n"/>
      <c r="D107" s="8" t="n"/>
      <c r="E107" s="14" t="n"/>
      <c r="F107" s="8" t="n"/>
      <c r="G107" s="72">
        <f>IF(A107&lt;&gt;"",TEXT(A107,"YYYY-MM"),"")</f>
        <v/>
      </c>
    </row>
    <row r="108">
      <c r="A108" s="71" t="n"/>
      <c r="B108" s="8" t="n"/>
      <c r="C108" s="8" t="n"/>
      <c r="D108" s="8" t="n"/>
      <c r="E108" s="14" t="n"/>
      <c r="F108" s="8" t="n"/>
      <c r="G108" s="72">
        <f>IF(A108&lt;&gt;"",TEXT(A108,"YYYY-MM"),"")</f>
        <v/>
      </c>
    </row>
    <row r="109">
      <c r="A109" s="71" t="n"/>
      <c r="B109" s="8" t="n"/>
      <c r="C109" s="8" t="n"/>
      <c r="D109" s="8" t="n"/>
      <c r="E109" s="14" t="n"/>
      <c r="F109" s="8" t="n"/>
      <c r="G109" s="72">
        <f>IF(A109&lt;&gt;"",TEXT(A109,"YYYY-MM"),"")</f>
        <v/>
      </c>
    </row>
    <row r="110">
      <c r="A110" s="71" t="n"/>
      <c r="B110" s="8" t="n"/>
      <c r="C110" s="8" t="n"/>
      <c r="D110" s="8" t="n"/>
      <c r="E110" s="14" t="n"/>
      <c r="F110" s="8" t="n"/>
      <c r="G110" s="72">
        <f>IF(A110&lt;&gt;"",TEXT(A110,"YYYY-MM"),"")</f>
        <v/>
      </c>
    </row>
    <row r="111">
      <c r="A111" s="71" t="n"/>
      <c r="B111" s="8" t="n"/>
      <c r="C111" s="8" t="n"/>
      <c r="D111" s="8" t="n"/>
      <c r="E111" s="14" t="n"/>
      <c r="F111" s="8" t="n"/>
      <c r="G111" s="72">
        <f>IF(A111&lt;&gt;"",TEXT(A111,"YYYY-MM"),"")</f>
        <v/>
      </c>
    </row>
    <row r="112">
      <c r="A112" s="71" t="n"/>
      <c r="B112" s="8" t="n"/>
      <c r="C112" s="8" t="n"/>
      <c r="D112" s="8" t="n"/>
      <c r="E112" s="14" t="n"/>
      <c r="F112" s="8" t="n"/>
      <c r="G112" s="72">
        <f>IF(A112&lt;&gt;"",TEXT(A112,"YYYY-MM"),"")</f>
        <v/>
      </c>
    </row>
    <row r="113">
      <c r="A113" s="71" t="n"/>
      <c r="B113" s="8" t="n"/>
      <c r="C113" s="8" t="n"/>
      <c r="D113" s="8" t="n"/>
      <c r="E113" s="14" t="n"/>
      <c r="F113" s="8" t="n"/>
      <c r="G113" s="72">
        <f>IF(A113&lt;&gt;"",TEXT(A113,"YYYY-MM"),"")</f>
        <v/>
      </c>
    </row>
    <row r="114">
      <c r="A114" s="71" t="n"/>
      <c r="B114" s="8" t="n"/>
      <c r="C114" s="8" t="n"/>
      <c r="D114" s="8" t="n"/>
      <c r="E114" s="14" t="n"/>
      <c r="F114" s="8" t="n"/>
      <c r="G114" s="72">
        <f>IF(A114&lt;&gt;"",TEXT(A114,"YYYY-MM"),"")</f>
        <v/>
      </c>
    </row>
    <row r="115">
      <c r="A115" s="71" t="n"/>
      <c r="B115" s="8" t="n"/>
      <c r="C115" s="8" t="n"/>
      <c r="D115" s="8" t="n"/>
      <c r="E115" s="14" t="n"/>
      <c r="F115" s="8" t="n"/>
      <c r="G115" s="72">
        <f>IF(A115&lt;&gt;"",TEXT(A115,"YYYY-MM"),"")</f>
        <v/>
      </c>
    </row>
    <row r="116">
      <c r="A116" s="71" t="n"/>
      <c r="B116" s="8" t="n"/>
      <c r="C116" s="8" t="n"/>
      <c r="D116" s="8" t="n"/>
      <c r="E116" s="14" t="n"/>
      <c r="F116" s="8" t="n"/>
      <c r="G116" s="72">
        <f>IF(A116&lt;&gt;"",TEXT(A116,"YYYY-MM"),"")</f>
        <v/>
      </c>
    </row>
    <row r="117">
      <c r="A117" s="71" t="n"/>
      <c r="B117" s="8" t="n"/>
      <c r="C117" s="8" t="n"/>
      <c r="D117" s="8" t="n"/>
      <c r="E117" s="14" t="n"/>
      <c r="F117" s="8" t="n"/>
      <c r="G117" s="72">
        <f>IF(A117&lt;&gt;"",TEXT(A117,"YYYY-MM"),"")</f>
        <v/>
      </c>
    </row>
    <row r="118">
      <c r="A118" s="71" t="n"/>
      <c r="B118" s="8" t="n"/>
      <c r="C118" s="8" t="n"/>
      <c r="D118" s="8" t="n"/>
      <c r="E118" s="14" t="n"/>
      <c r="F118" s="8" t="n"/>
      <c r="G118" s="72">
        <f>IF(A118&lt;&gt;"",TEXT(A118,"YYYY-MM"),"")</f>
        <v/>
      </c>
    </row>
    <row r="119">
      <c r="A119" s="71" t="n"/>
      <c r="B119" s="8" t="n"/>
      <c r="C119" s="8" t="n"/>
      <c r="D119" s="8" t="n"/>
      <c r="E119" s="14" t="n"/>
      <c r="F119" s="8" t="n"/>
      <c r="G119" s="72">
        <f>IF(A119&lt;&gt;"",TEXT(A119,"YYYY-MM"),"")</f>
        <v/>
      </c>
    </row>
    <row r="120">
      <c r="A120" s="71" t="n"/>
      <c r="B120" s="8" t="n"/>
      <c r="C120" s="8" t="n"/>
      <c r="D120" s="8" t="n"/>
      <c r="E120" s="14" t="n"/>
      <c r="F120" s="8" t="n"/>
      <c r="G120" s="72">
        <f>IF(A120&lt;&gt;"",TEXT(A120,"YYYY-MM"),"")</f>
        <v/>
      </c>
    </row>
    <row r="121">
      <c r="A121" s="71" t="n"/>
      <c r="B121" s="8" t="n"/>
      <c r="C121" s="8" t="n"/>
      <c r="D121" s="8" t="n"/>
      <c r="E121" s="14" t="n"/>
      <c r="F121" s="8" t="n"/>
      <c r="G121" s="72">
        <f>IF(A121&lt;&gt;"",TEXT(A121,"YYYY-MM"),"")</f>
        <v/>
      </c>
    </row>
    <row r="122">
      <c r="A122" s="71" t="n"/>
      <c r="B122" s="8" t="n"/>
      <c r="C122" s="8" t="n"/>
      <c r="D122" s="8" t="n"/>
      <c r="E122" s="14" t="n"/>
      <c r="F122" s="8" t="n"/>
      <c r="G122" s="72">
        <f>IF(A122&lt;&gt;"",TEXT(A122,"YYYY-MM"),"")</f>
        <v/>
      </c>
    </row>
    <row r="123">
      <c r="A123" s="71" t="n"/>
      <c r="B123" s="8" t="n"/>
      <c r="C123" s="8" t="n"/>
      <c r="D123" s="8" t="n"/>
      <c r="E123" s="14" t="n"/>
      <c r="F123" s="8" t="n"/>
      <c r="G123" s="72">
        <f>IF(A123&lt;&gt;"",TEXT(A123,"YYYY-MM"),"")</f>
        <v/>
      </c>
    </row>
    <row r="124">
      <c r="A124" s="71" t="n"/>
      <c r="B124" s="8" t="n"/>
      <c r="C124" s="8" t="n"/>
      <c r="D124" s="8" t="n"/>
      <c r="E124" s="14" t="n"/>
      <c r="F124" s="8" t="n"/>
      <c r="G124" s="72">
        <f>IF(A124&lt;&gt;"",TEXT(A124,"YYYY-MM"),"")</f>
        <v/>
      </c>
    </row>
    <row r="125">
      <c r="A125" s="71" t="n"/>
      <c r="B125" s="8" t="n"/>
      <c r="C125" s="8" t="n"/>
      <c r="D125" s="8" t="n"/>
      <c r="E125" s="14" t="n"/>
      <c r="F125" s="8" t="n"/>
      <c r="G125" s="72">
        <f>IF(A125&lt;&gt;"",TEXT(A125,"YYYY-MM"),"")</f>
        <v/>
      </c>
    </row>
    <row r="126">
      <c r="A126" s="71" t="n"/>
      <c r="B126" s="8" t="n"/>
      <c r="C126" s="8" t="n"/>
      <c r="D126" s="8" t="n"/>
      <c r="E126" s="14" t="n"/>
      <c r="F126" s="8" t="n"/>
      <c r="G126" s="72">
        <f>IF(A126&lt;&gt;"",TEXT(A126,"YYYY-MM"),"")</f>
        <v/>
      </c>
    </row>
    <row r="127">
      <c r="A127" s="71" t="n"/>
      <c r="B127" s="8" t="n"/>
      <c r="C127" s="8" t="n"/>
      <c r="D127" s="8" t="n"/>
      <c r="E127" s="14" t="n"/>
      <c r="F127" s="8" t="n"/>
      <c r="G127" s="72">
        <f>IF(A127&lt;&gt;"",TEXT(A127,"YYYY-MM"),"")</f>
        <v/>
      </c>
    </row>
    <row r="128">
      <c r="A128" s="71" t="n"/>
      <c r="B128" s="8" t="n"/>
      <c r="C128" s="8" t="n"/>
      <c r="D128" s="8" t="n"/>
      <c r="E128" s="14" t="n"/>
      <c r="F128" s="8" t="n"/>
      <c r="G128" s="72">
        <f>IF(A128&lt;&gt;"",TEXT(A128,"YYYY-MM"),"")</f>
        <v/>
      </c>
    </row>
    <row r="129">
      <c r="A129" s="71" t="n"/>
      <c r="B129" s="8" t="n"/>
      <c r="C129" s="8" t="n"/>
      <c r="D129" s="8" t="n"/>
      <c r="E129" s="14" t="n"/>
      <c r="F129" s="8" t="n"/>
      <c r="G129" s="72">
        <f>IF(A129&lt;&gt;"",TEXT(A129,"YYYY-MM"),"")</f>
        <v/>
      </c>
    </row>
    <row r="130">
      <c r="A130" s="71" t="n"/>
      <c r="B130" s="8" t="n"/>
      <c r="C130" s="8" t="n"/>
      <c r="D130" s="8" t="n"/>
      <c r="E130" s="14" t="n"/>
      <c r="F130" s="8" t="n"/>
      <c r="G130" s="72">
        <f>IF(A130&lt;&gt;"",TEXT(A130,"YYYY-MM"),"")</f>
        <v/>
      </c>
    </row>
    <row r="131">
      <c r="A131" s="71" t="n"/>
      <c r="B131" s="8" t="n"/>
      <c r="C131" s="8" t="n"/>
      <c r="D131" s="8" t="n"/>
      <c r="E131" s="14" t="n"/>
      <c r="F131" s="8" t="n"/>
      <c r="G131" s="72">
        <f>IF(A131&lt;&gt;"",TEXT(A131,"YYYY-MM"),"")</f>
        <v/>
      </c>
    </row>
    <row r="132">
      <c r="A132" s="71" t="n"/>
      <c r="B132" s="8" t="n"/>
      <c r="C132" s="8" t="n"/>
      <c r="D132" s="8" t="n"/>
      <c r="E132" s="14" t="n"/>
      <c r="F132" s="8" t="n"/>
      <c r="G132" s="72">
        <f>IF(A132&lt;&gt;"",TEXT(A132,"YYYY-MM"),"")</f>
        <v/>
      </c>
    </row>
    <row r="133">
      <c r="A133" s="71" t="n"/>
      <c r="B133" s="8" t="n"/>
      <c r="C133" s="8" t="n"/>
      <c r="D133" s="8" t="n"/>
      <c r="E133" s="14" t="n"/>
      <c r="F133" s="8" t="n"/>
      <c r="G133" s="72">
        <f>IF(A133&lt;&gt;"",TEXT(A133,"YYYY-MM"),"")</f>
        <v/>
      </c>
    </row>
    <row r="134">
      <c r="A134" s="71" t="n"/>
      <c r="B134" s="8" t="n"/>
      <c r="C134" s="8" t="n"/>
      <c r="D134" s="8" t="n"/>
      <c r="E134" s="14" t="n"/>
      <c r="F134" s="8" t="n"/>
      <c r="G134" s="72">
        <f>IF(A134&lt;&gt;"",TEXT(A134,"YYYY-MM"),"")</f>
        <v/>
      </c>
    </row>
    <row r="135">
      <c r="A135" s="71" t="n"/>
      <c r="B135" s="8" t="n"/>
      <c r="C135" s="8" t="n"/>
      <c r="D135" s="8" t="n"/>
      <c r="E135" s="14" t="n"/>
      <c r="F135" s="8" t="n"/>
      <c r="G135" s="72">
        <f>IF(A135&lt;&gt;"",TEXT(A135,"YYYY-MM"),"")</f>
        <v/>
      </c>
    </row>
    <row r="136">
      <c r="A136" s="71" t="n"/>
      <c r="B136" s="8" t="n"/>
      <c r="C136" s="8" t="n"/>
      <c r="D136" s="8" t="n"/>
      <c r="E136" s="14" t="n"/>
      <c r="F136" s="8" t="n"/>
      <c r="G136" s="72">
        <f>IF(A136&lt;&gt;"",TEXT(A136,"YYYY-MM"),"")</f>
        <v/>
      </c>
    </row>
    <row r="137">
      <c r="A137" s="71" t="n"/>
      <c r="B137" s="8" t="n"/>
      <c r="C137" s="8" t="n"/>
      <c r="D137" s="8" t="n"/>
      <c r="E137" s="14" t="n"/>
      <c r="F137" s="8" t="n"/>
      <c r="G137" s="72">
        <f>IF(A137&lt;&gt;"",TEXT(A137,"YYYY-MM"),"")</f>
        <v/>
      </c>
    </row>
    <row r="138">
      <c r="A138" s="71" t="n"/>
      <c r="B138" s="8" t="n"/>
      <c r="C138" s="8" t="n"/>
      <c r="D138" s="8" t="n"/>
      <c r="E138" s="14" t="n"/>
      <c r="F138" s="8" t="n"/>
      <c r="G138" s="72">
        <f>IF(A138&lt;&gt;"",TEXT(A138,"YYYY-MM"),"")</f>
        <v/>
      </c>
    </row>
    <row r="139">
      <c r="A139" s="71" t="n"/>
      <c r="B139" s="8" t="n"/>
      <c r="C139" s="8" t="n"/>
      <c r="D139" s="8" t="n"/>
      <c r="E139" s="14" t="n"/>
      <c r="F139" s="8" t="n"/>
      <c r="G139" s="72">
        <f>IF(A139&lt;&gt;"",TEXT(A139,"YYYY-MM"),"")</f>
        <v/>
      </c>
    </row>
    <row r="140">
      <c r="A140" s="71" t="n"/>
      <c r="B140" s="8" t="n"/>
      <c r="C140" s="8" t="n"/>
      <c r="D140" s="8" t="n"/>
      <c r="E140" s="14" t="n"/>
      <c r="F140" s="8" t="n"/>
      <c r="G140" s="72">
        <f>IF(A140&lt;&gt;"",TEXT(A140,"YYYY-MM"),"")</f>
        <v/>
      </c>
    </row>
    <row r="141">
      <c r="A141" s="71" t="n"/>
      <c r="B141" s="8" t="n"/>
      <c r="C141" s="8" t="n"/>
      <c r="D141" s="8" t="n"/>
      <c r="E141" s="14" t="n"/>
      <c r="F141" s="8" t="n"/>
      <c r="G141" s="72">
        <f>IF(A141&lt;&gt;"",TEXT(A141,"YYYY-MM"),"")</f>
        <v/>
      </c>
    </row>
    <row r="142">
      <c r="A142" s="71" t="n"/>
      <c r="B142" s="8" t="n"/>
      <c r="C142" s="8" t="n"/>
      <c r="D142" s="8" t="n"/>
      <c r="E142" s="14" t="n"/>
      <c r="F142" s="8" t="n"/>
      <c r="G142" s="72">
        <f>IF(A142&lt;&gt;"",TEXT(A142,"YYYY-MM"),"")</f>
        <v/>
      </c>
    </row>
    <row r="143">
      <c r="A143" s="71" t="n"/>
      <c r="B143" s="8" t="n"/>
      <c r="C143" s="8" t="n"/>
      <c r="D143" s="8" t="n"/>
      <c r="E143" s="14" t="n"/>
      <c r="F143" s="8" t="n"/>
      <c r="G143" s="72">
        <f>IF(A143&lt;&gt;"",TEXT(A143,"YYYY-MM"),"")</f>
        <v/>
      </c>
    </row>
    <row r="144">
      <c r="A144" s="71" t="n"/>
      <c r="B144" s="8" t="n"/>
      <c r="C144" s="8" t="n"/>
      <c r="D144" s="8" t="n"/>
      <c r="E144" s="14" t="n"/>
      <c r="F144" s="8" t="n"/>
      <c r="G144" s="72">
        <f>IF(A144&lt;&gt;"",TEXT(A144,"YYYY-MM"),"")</f>
        <v/>
      </c>
    </row>
    <row r="145">
      <c r="A145" s="71" t="n"/>
      <c r="B145" s="8" t="n"/>
      <c r="C145" s="8" t="n"/>
      <c r="D145" s="8" t="n"/>
      <c r="E145" s="14" t="n"/>
      <c r="F145" s="8" t="n"/>
      <c r="G145" s="72">
        <f>IF(A145&lt;&gt;"",TEXT(A145,"YYYY-MM"),"")</f>
        <v/>
      </c>
    </row>
    <row r="146">
      <c r="A146" s="71" t="n"/>
      <c r="B146" s="8" t="n"/>
      <c r="C146" s="8" t="n"/>
      <c r="D146" s="8" t="n"/>
      <c r="E146" s="14" t="n"/>
      <c r="F146" s="8" t="n"/>
      <c r="G146" s="72">
        <f>IF(A146&lt;&gt;"",TEXT(A146,"YYYY-MM"),"")</f>
        <v/>
      </c>
    </row>
    <row r="147">
      <c r="A147" s="71" t="n"/>
      <c r="B147" s="8" t="n"/>
      <c r="C147" s="8" t="n"/>
      <c r="D147" s="8" t="n"/>
      <c r="E147" s="14" t="n"/>
      <c r="F147" s="8" t="n"/>
      <c r="G147" s="72">
        <f>IF(A147&lt;&gt;"",TEXT(A147,"YYYY-MM"),"")</f>
        <v/>
      </c>
    </row>
    <row r="148">
      <c r="A148" s="71" t="n"/>
      <c r="B148" s="8" t="n"/>
      <c r="C148" s="8" t="n"/>
      <c r="D148" s="8" t="n"/>
      <c r="E148" s="14" t="n"/>
      <c r="F148" s="8" t="n"/>
      <c r="G148" s="72">
        <f>IF(A148&lt;&gt;"",TEXT(A148,"YYYY-MM"),"")</f>
        <v/>
      </c>
    </row>
    <row r="149">
      <c r="A149" s="71" t="n"/>
      <c r="B149" s="8" t="n"/>
      <c r="C149" s="8" t="n"/>
      <c r="D149" s="8" t="n"/>
      <c r="E149" s="14" t="n"/>
      <c r="F149" s="8" t="n"/>
      <c r="G149" s="72">
        <f>IF(A149&lt;&gt;"",TEXT(A149,"YYYY-MM"),"")</f>
        <v/>
      </c>
    </row>
    <row r="150">
      <c r="A150" s="71" t="n"/>
      <c r="B150" s="8" t="n"/>
      <c r="C150" s="8" t="n"/>
      <c r="D150" s="8" t="n"/>
      <c r="E150" s="14" t="n"/>
      <c r="F150" s="8" t="n"/>
      <c r="G150" s="72">
        <f>IF(A150&lt;&gt;"",TEXT(A150,"YYYY-MM"),"")</f>
        <v/>
      </c>
    </row>
    <row r="151">
      <c r="A151" s="71" t="n"/>
      <c r="B151" s="8" t="n"/>
      <c r="C151" s="8" t="n"/>
      <c r="D151" s="8" t="n"/>
      <c r="E151" s="14" t="n"/>
      <c r="F151" s="8" t="n"/>
      <c r="G151" s="72">
        <f>IF(A151&lt;&gt;"",TEXT(A151,"YYYY-MM"),"")</f>
        <v/>
      </c>
    </row>
    <row r="152">
      <c r="A152" s="71" t="n"/>
      <c r="B152" s="8" t="n"/>
      <c r="C152" s="8" t="n"/>
      <c r="D152" s="8" t="n"/>
      <c r="E152" s="14" t="n"/>
      <c r="F152" s="8" t="n"/>
      <c r="G152" s="72">
        <f>IF(A152&lt;&gt;"",TEXT(A152,"YYYY-MM"),"")</f>
        <v/>
      </c>
    </row>
    <row r="153">
      <c r="A153" s="71" t="n"/>
      <c r="B153" s="8" t="n"/>
      <c r="C153" s="8" t="n"/>
      <c r="D153" s="8" t="n"/>
      <c r="E153" s="14" t="n"/>
      <c r="F153" s="8" t="n"/>
      <c r="G153" s="72">
        <f>IF(A153&lt;&gt;"",TEXT(A153,"YYYY-MM"),"")</f>
        <v/>
      </c>
    </row>
    <row r="154">
      <c r="A154" s="71" t="n"/>
      <c r="B154" s="8" t="n"/>
      <c r="C154" s="8" t="n"/>
      <c r="D154" s="8" t="n"/>
      <c r="E154" s="14" t="n"/>
      <c r="F154" s="8" t="n"/>
      <c r="G154" s="72">
        <f>IF(A154&lt;&gt;"",TEXT(A154,"YYYY-MM"),"")</f>
        <v/>
      </c>
    </row>
    <row r="155">
      <c r="A155" s="71" t="n"/>
      <c r="B155" s="8" t="n"/>
      <c r="C155" s="8" t="n"/>
      <c r="D155" s="8" t="n"/>
      <c r="E155" s="14" t="n"/>
      <c r="F155" s="8" t="n"/>
      <c r="G155" s="72">
        <f>IF(A155&lt;&gt;"",TEXT(A155,"YYYY-MM"),"")</f>
        <v/>
      </c>
    </row>
    <row r="156">
      <c r="A156" s="71" t="n"/>
      <c r="B156" s="8" t="n"/>
      <c r="C156" s="8" t="n"/>
      <c r="D156" s="8" t="n"/>
      <c r="E156" s="14" t="n"/>
      <c r="F156" s="8" t="n"/>
      <c r="G156" s="72">
        <f>IF(A156&lt;&gt;"",TEXT(A156,"YYYY-MM"),"")</f>
        <v/>
      </c>
    </row>
    <row r="157">
      <c r="A157" s="71" t="n"/>
      <c r="B157" s="8" t="n"/>
      <c r="C157" s="8" t="n"/>
      <c r="D157" s="8" t="n"/>
      <c r="E157" s="14" t="n"/>
      <c r="F157" s="8" t="n"/>
      <c r="G157" s="72">
        <f>IF(A157&lt;&gt;"",TEXT(A157,"YYYY-MM"),"")</f>
        <v/>
      </c>
    </row>
    <row r="158">
      <c r="A158" s="71" t="n"/>
      <c r="B158" s="8" t="n"/>
      <c r="C158" s="8" t="n"/>
      <c r="D158" s="8" t="n"/>
      <c r="E158" s="14" t="n"/>
      <c r="F158" s="8" t="n"/>
      <c r="G158" s="72">
        <f>IF(A158&lt;&gt;"",TEXT(A158,"YYYY-MM"),"")</f>
        <v/>
      </c>
    </row>
    <row r="159">
      <c r="A159" s="71" t="n"/>
      <c r="B159" s="8" t="n"/>
      <c r="C159" s="8" t="n"/>
      <c r="D159" s="8" t="n"/>
      <c r="E159" s="14" t="n"/>
      <c r="F159" s="8" t="n"/>
      <c r="G159" s="72">
        <f>IF(A159&lt;&gt;"",TEXT(A159,"YYYY-MM"),"")</f>
        <v/>
      </c>
    </row>
    <row r="160">
      <c r="A160" s="71" t="n"/>
      <c r="B160" s="8" t="n"/>
      <c r="C160" s="8" t="n"/>
      <c r="D160" s="8" t="n"/>
      <c r="E160" s="14" t="n"/>
      <c r="F160" s="8" t="n"/>
      <c r="G160" s="72">
        <f>IF(A160&lt;&gt;"",TEXT(A160,"YYYY-MM"),"")</f>
        <v/>
      </c>
    </row>
    <row r="161">
      <c r="A161" s="71" t="n"/>
      <c r="B161" s="8" t="n"/>
      <c r="C161" s="8" t="n"/>
      <c r="D161" s="8" t="n"/>
      <c r="E161" s="14" t="n"/>
      <c r="F161" s="8" t="n"/>
      <c r="G161" s="72">
        <f>IF(A161&lt;&gt;"",TEXT(A161,"YYYY-MM"),"")</f>
        <v/>
      </c>
    </row>
    <row r="162">
      <c r="A162" s="71" t="n"/>
      <c r="B162" s="8" t="n"/>
      <c r="C162" s="8" t="n"/>
      <c r="D162" s="8" t="n"/>
      <c r="E162" s="14" t="n"/>
      <c r="F162" s="8" t="n"/>
      <c r="G162" s="72">
        <f>IF(A162&lt;&gt;"",TEXT(A162,"YYYY-MM"),"")</f>
        <v/>
      </c>
    </row>
    <row r="163">
      <c r="A163" s="71" t="n"/>
      <c r="B163" s="8" t="n"/>
      <c r="C163" s="8" t="n"/>
      <c r="D163" s="8" t="n"/>
      <c r="E163" s="14" t="n"/>
      <c r="F163" s="8" t="n"/>
      <c r="G163" s="72">
        <f>IF(A163&lt;&gt;"",TEXT(A163,"YYYY-MM"),"")</f>
        <v/>
      </c>
    </row>
    <row r="164">
      <c r="A164" s="71" t="n"/>
      <c r="B164" s="8" t="n"/>
      <c r="C164" s="8" t="n"/>
      <c r="D164" s="8" t="n"/>
      <c r="E164" s="14" t="n"/>
      <c r="F164" s="8" t="n"/>
      <c r="G164" s="72">
        <f>IF(A164&lt;&gt;"",TEXT(A164,"YYYY-MM"),"")</f>
        <v/>
      </c>
    </row>
    <row r="165">
      <c r="A165" s="71" t="n"/>
      <c r="B165" s="8" t="n"/>
      <c r="C165" s="8" t="n"/>
      <c r="D165" s="8" t="n"/>
      <c r="E165" s="14" t="n"/>
      <c r="F165" s="8" t="n"/>
      <c r="G165" s="72">
        <f>IF(A165&lt;&gt;"",TEXT(A165,"YYYY-MM"),"")</f>
        <v/>
      </c>
    </row>
    <row r="166">
      <c r="A166" s="71" t="n"/>
      <c r="B166" s="8" t="n"/>
      <c r="C166" s="8" t="n"/>
      <c r="D166" s="8" t="n"/>
      <c r="E166" s="14" t="n"/>
      <c r="F166" s="8" t="n"/>
      <c r="G166" s="72">
        <f>IF(A166&lt;&gt;"",TEXT(A166,"YYYY-MM"),"")</f>
        <v/>
      </c>
    </row>
    <row r="167">
      <c r="A167" s="71" t="n"/>
      <c r="B167" s="8" t="n"/>
      <c r="C167" s="8" t="n"/>
      <c r="D167" s="8" t="n"/>
      <c r="E167" s="14" t="n"/>
      <c r="F167" s="8" t="n"/>
      <c r="G167" s="72">
        <f>IF(A167&lt;&gt;"",TEXT(A167,"YYYY-MM"),"")</f>
        <v/>
      </c>
    </row>
    <row r="168">
      <c r="A168" s="71" t="n"/>
      <c r="B168" s="8" t="n"/>
      <c r="C168" s="8" t="n"/>
      <c r="D168" s="8" t="n"/>
      <c r="E168" s="14" t="n"/>
      <c r="F168" s="8" t="n"/>
      <c r="G168" s="72">
        <f>IF(A168&lt;&gt;"",TEXT(A168,"YYYY-MM"),"")</f>
        <v/>
      </c>
    </row>
    <row r="169">
      <c r="A169" s="71" t="n"/>
      <c r="B169" s="8" t="n"/>
      <c r="C169" s="8" t="n"/>
      <c r="D169" s="8" t="n"/>
      <c r="E169" s="14" t="n"/>
      <c r="F169" s="8" t="n"/>
      <c r="G169" s="72">
        <f>IF(A169&lt;&gt;"",TEXT(A169,"YYYY-MM"),"")</f>
        <v/>
      </c>
    </row>
    <row r="170">
      <c r="A170" s="71" t="n"/>
      <c r="B170" s="8" t="n"/>
      <c r="C170" s="8" t="n"/>
      <c r="D170" s="8" t="n"/>
      <c r="E170" s="14" t="n"/>
      <c r="F170" s="8" t="n"/>
      <c r="G170" s="72">
        <f>IF(A170&lt;&gt;"",TEXT(A170,"YYYY-MM"),"")</f>
        <v/>
      </c>
    </row>
    <row r="171">
      <c r="A171" s="71" t="n"/>
      <c r="B171" s="8" t="n"/>
      <c r="C171" s="8" t="n"/>
      <c r="D171" s="8" t="n"/>
      <c r="E171" s="14" t="n"/>
      <c r="F171" s="8" t="n"/>
      <c r="G171" s="72">
        <f>IF(A171&lt;&gt;"",TEXT(A171,"YYYY-MM"),"")</f>
        <v/>
      </c>
    </row>
    <row r="172">
      <c r="A172" s="71" t="n"/>
      <c r="B172" s="8" t="n"/>
      <c r="C172" s="8" t="n"/>
      <c r="D172" s="8" t="n"/>
      <c r="E172" s="14" t="n"/>
      <c r="F172" s="8" t="n"/>
      <c r="G172" s="72">
        <f>IF(A172&lt;&gt;"",TEXT(A172,"YYYY-MM"),"")</f>
        <v/>
      </c>
    </row>
    <row r="173">
      <c r="A173" s="71" t="n"/>
      <c r="B173" s="8" t="n"/>
      <c r="C173" s="8" t="n"/>
      <c r="D173" s="8" t="n"/>
      <c r="E173" s="14" t="n"/>
      <c r="F173" s="8" t="n"/>
      <c r="G173" s="72">
        <f>IF(A173&lt;&gt;"",TEXT(A173,"YYYY-MM"),"")</f>
        <v/>
      </c>
    </row>
    <row r="174">
      <c r="A174" s="71" t="n"/>
      <c r="B174" s="8" t="n"/>
      <c r="C174" s="8" t="n"/>
      <c r="D174" s="8" t="n"/>
      <c r="E174" s="14" t="n"/>
      <c r="F174" s="8" t="n"/>
      <c r="G174" s="72">
        <f>IF(A174&lt;&gt;"",TEXT(A174,"YYYY-MM"),"")</f>
        <v/>
      </c>
    </row>
    <row r="175">
      <c r="A175" s="71" t="n"/>
      <c r="B175" s="8" t="n"/>
      <c r="C175" s="8" t="n"/>
      <c r="D175" s="8" t="n"/>
      <c r="E175" s="14" t="n"/>
      <c r="F175" s="8" t="n"/>
      <c r="G175" s="72">
        <f>IF(A175&lt;&gt;"",TEXT(A175,"YYYY-MM"),"")</f>
        <v/>
      </c>
    </row>
    <row r="176">
      <c r="A176" s="71" t="n"/>
      <c r="B176" s="8" t="n"/>
      <c r="C176" s="8" t="n"/>
      <c r="D176" s="8" t="n"/>
      <c r="E176" s="14" t="n"/>
      <c r="F176" s="8" t="n"/>
      <c r="G176" s="72">
        <f>IF(A176&lt;&gt;"",TEXT(A176,"YYYY-MM"),"")</f>
        <v/>
      </c>
    </row>
    <row r="177">
      <c r="A177" s="71" t="n"/>
      <c r="B177" s="8" t="n"/>
      <c r="C177" s="8" t="n"/>
      <c r="D177" s="8" t="n"/>
      <c r="E177" s="14" t="n"/>
      <c r="F177" s="8" t="n"/>
      <c r="G177" s="72">
        <f>IF(A177&lt;&gt;"",TEXT(A177,"YYYY-MM"),"")</f>
        <v/>
      </c>
    </row>
    <row r="178">
      <c r="A178" s="71" t="n"/>
      <c r="B178" s="8" t="n"/>
      <c r="C178" s="8" t="n"/>
      <c r="D178" s="8" t="n"/>
      <c r="E178" s="14" t="n"/>
      <c r="F178" s="8" t="n"/>
      <c r="G178" s="72">
        <f>IF(A178&lt;&gt;"",TEXT(A178,"YYYY-MM"),"")</f>
        <v/>
      </c>
    </row>
    <row r="179">
      <c r="A179" s="71" t="n"/>
      <c r="B179" s="8" t="n"/>
      <c r="C179" s="8" t="n"/>
      <c r="D179" s="8" t="n"/>
      <c r="E179" s="14" t="n"/>
      <c r="F179" s="8" t="n"/>
      <c r="G179" s="72">
        <f>IF(A179&lt;&gt;"",TEXT(A179,"YYYY-MM"),"")</f>
        <v/>
      </c>
    </row>
    <row r="180">
      <c r="A180" s="71" t="n"/>
      <c r="B180" s="8" t="n"/>
      <c r="C180" s="8" t="n"/>
      <c r="D180" s="8" t="n"/>
      <c r="E180" s="14" t="n"/>
      <c r="F180" s="8" t="n"/>
      <c r="G180" s="72">
        <f>IF(A180&lt;&gt;"",TEXT(A180,"YYYY-MM"),"")</f>
        <v/>
      </c>
    </row>
    <row r="181">
      <c r="A181" s="71" t="n"/>
      <c r="B181" s="8" t="n"/>
      <c r="C181" s="8" t="n"/>
      <c r="D181" s="8" t="n"/>
      <c r="E181" s="14" t="n"/>
      <c r="F181" s="8" t="n"/>
      <c r="G181" s="72">
        <f>IF(A181&lt;&gt;"",TEXT(A181,"YYYY-MM"),"")</f>
        <v/>
      </c>
    </row>
    <row r="182">
      <c r="A182" s="71" t="n"/>
      <c r="B182" s="8" t="n"/>
      <c r="C182" s="8" t="n"/>
      <c r="D182" s="8" t="n"/>
      <c r="E182" s="14" t="n"/>
      <c r="F182" s="8" t="n"/>
      <c r="G182" s="72">
        <f>IF(A182&lt;&gt;"",TEXT(A182,"YYYY-MM"),"")</f>
        <v/>
      </c>
    </row>
    <row r="183">
      <c r="A183" s="71" t="n"/>
      <c r="B183" s="8" t="n"/>
      <c r="C183" s="8" t="n"/>
      <c r="D183" s="8" t="n"/>
      <c r="E183" s="14" t="n"/>
      <c r="F183" s="8" t="n"/>
      <c r="G183" s="72">
        <f>IF(A183&lt;&gt;"",TEXT(A183,"YYYY-MM"),"")</f>
        <v/>
      </c>
    </row>
    <row r="184">
      <c r="A184" s="71" t="n"/>
      <c r="B184" s="8" t="n"/>
      <c r="C184" s="8" t="n"/>
      <c r="D184" s="8" t="n"/>
      <c r="E184" s="14" t="n"/>
      <c r="F184" s="8" t="n"/>
      <c r="G184" s="72">
        <f>IF(A184&lt;&gt;"",TEXT(A184,"YYYY-MM"),"")</f>
        <v/>
      </c>
    </row>
    <row r="185">
      <c r="A185" s="71" t="n"/>
      <c r="B185" s="8" t="n"/>
      <c r="C185" s="8" t="n"/>
      <c r="D185" s="8" t="n"/>
      <c r="E185" s="14" t="n"/>
      <c r="F185" s="8" t="n"/>
      <c r="G185" s="72">
        <f>IF(A185&lt;&gt;"",TEXT(A185,"YYYY-MM"),"")</f>
        <v/>
      </c>
    </row>
    <row r="186">
      <c r="A186" s="71" t="n"/>
      <c r="B186" s="8" t="n"/>
      <c r="C186" s="8" t="n"/>
      <c r="D186" s="8" t="n"/>
      <c r="E186" s="14" t="n"/>
      <c r="F186" s="8" t="n"/>
      <c r="G186" s="72">
        <f>IF(A186&lt;&gt;"",TEXT(A186,"YYYY-MM"),"")</f>
        <v/>
      </c>
    </row>
    <row r="187">
      <c r="A187" s="71" t="n"/>
      <c r="B187" s="8" t="n"/>
      <c r="C187" s="8" t="n"/>
      <c r="D187" s="8" t="n"/>
      <c r="E187" s="14" t="n"/>
      <c r="F187" s="8" t="n"/>
      <c r="G187" s="72">
        <f>IF(A187&lt;&gt;"",TEXT(A187,"YYYY-MM"),"")</f>
        <v/>
      </c>
    </row>
    <row r="188">
      <c r="A188" s="71" t="n"/>
      <c r="B188" s="8" t="n"/>
      <c r="C188" s="8" t="n"/>
      <c r="D188" s="8" t="n"/>
      <c r="E188" s="14" t="n"/>
      <c r="F188" s="8" t="n"/>
      <c r="G188" s="72">
        <f>IF(A188&lt;&gt;"",TEXT(A188,"YYYY-MM"),"")</f>
        <v/>
      </c>
    </row>
    <row r="189">
      <c r="A189" s="71" t="n"/>
      <c r="B189" s="8" t="n"/>
      <c r="C189" s="8" t="n"/>
      <c r="D189" s="8" t="n"/>
      <c r="E189" s="14" t="n"/>
      <c r="F189" s="8" t="n"/>
      <c r="G189" s="72">
        <f>IF(A189&lt;&gt;"",TEXT(A189,"YYYY-MM"),"")</f>
        <v/>
      </c>
    </row>
    <row r="190">
      <c r="A190" s="71" t="n"/>
      <c r="B190" s="8" t="n"/>
      <c r="C190" s="8" t="n"/>
      <c r="D190" s="8" t="n"/>
      <c r="E190" s="14" t="n"/>
      <c r="F190" s="8" t="n"/>
      <c r="G190" s="72">
        <f>IF(A190&lt;&gt;"",TEXT(A190,"YYYY-MM"),"")</f>
        <v/>
      </c>
    </row>
    <row r="191">
      <c r="A191" s="71" t="n"/>
      <c r="B191" s="8" t="n"/>
      <c r="C191" s="8" t="n"/>
      <c r="D191" s="8" t="n"/>
      <c r="E191" s="14" t="n"/>
      <c r="F191" s="8" t="n"/>
      <c r="G191" s="72">
        <f>IF(A191&lt;&gt;"",TEXT(A191,"YYYY-MM"),"")</f>
        <v/>
      </c>
    </row>
    <row r="192">
      <c r="A192" s="71" t="n"/>
      <c r="B192" s="8" t="n"/>
      <c r="C192" s="8" t="n"/>
      <c r="D192" s="8" t="n"/>
      <c r="E192" s="14" t="n"/>
      <c r="F192" s="8" t="n"/>
      <c r="G192" s="72">
        <f>IF(A192&lt;&gt;"",TEXT(A192,"YYYY-MM"),"")</f>
        <v/>
      </c>
    </row>
    <row r="193">
      <c r="A193" s="71" t="n"/>
      <c r="B193" s="8" t="n"/>
      <c r="C193" s="8" t="n"/>
      <c r="D193" s="8" t="n"/>
      <c r="E193" s="14" t="n"/>
      <c r="F193" s="8" t="n"/>
      <c r="G193" s="72">
        <f>IF(A193&lt;&gt;"",TEXT(A193,"YYYY-MM"),"")</f>
        <v/>
      </c>
    </row>
    <row r="194">
      <c r="A194" s="71" t="n"/>
      <c r="B194" s="8" t="n"/>
      <c r="C194" s="8" t="n"/>
      <c r="D194" s="8" t="n"/>
      <c r="E194" s="14" t="n"/>
      <c r="F194" s="8" t="n"/>
      <c r="G194" s="72">
        <f>IF(A194&lt;&gt;"",TEXT(A194,"YYYY-MM"),"")</f>
        <v/>
      </c>
    </row>
    <row r="195">
      <c r="A195" s="71" t="n"/>
      <c r="B195" s="8" t="n"/>
      <c r="C195" s="8" t="n"/>
      <c r="D195" s="8" t="n"/>
      <c r="E195" s="14" t="n"/>
      <c r="F195" s="8" t="n"/>
      <c r="G195" s="72">
        <f>IF(A195&lt;&gt;"",TEXT(A195,"YYYY-MM"),"")</f>
        <v/>
      </c>
    </row>
    <row r="196">
      <c r="A196" s="71" t="n"/>
      <c r="B196" s="8" t="n"/>
      <c r="C196" s="8" t="n"/>
      <c r="D196" s="8" t="n"/>
      <c r="E196" s="14" t="n"/>
      <c r="F196" s="8" t="n"/>
      <c r="G196" s="72">
        <f>IF(A196&lt;&gt;"",TEXT(A196,"YYYY-MM"),"")</f>
        <v/>
      </c>
    </row>
    <row r="197">
      <c r="A197" s="71" t="n"/>
      <c r="B197" s="8" t="n"/>
      <c r="C197" s="8" t="n"/>
      <c r="D197" s="8" t="n"/>
      <c r="E197" s="14" t="n"/>
      <c r="F197" s="8" t="n"/>
      <c r="G197" s="72">
        <f>IF(A197&lt;&gt;"",TEXT(A197,"YYYY-MM"),"")</f>
        <v/>
      </c>
    </row>
    <row r="198">
      <c r="A198" s="71" t="n"/>
      <c r="B198" s="8" t="n"/>
      <c r="C198" s="8" t="n"/>
      <c r="D198" s="8" t="n"/>
      <c r="E198" s="14" t="n"/>
      <c r="F198" s="8" t="n"/>
      <c r="G198" s="72">
        <f>IF(A198&lt;&gt;"",TEXT(A198,"YYYY-MM"),"")</f>
        <v/>
      </c>
    </row>
    <row r="199">
      <c r="A199" s="71" t="n"/>
      <c r="B199" s="8" t="n"/>
      <c r="C199" s="8" t="n"/>
      <c r="D199" s="8" t="n"/>
      <c r="E199" s="14" t="n"/>
      <c r="F199" s="8" t="n"/>
      <c r="G199" s="72">
        <f>IF(A199&lt;&gt;"",TEXT(A199,"YYYY-MM"),"")</f>
        <v/>
      </c>
    </row>
    <row r="200">
      <c r="A200" s="71" t="n"/>
      <c r="B200" s="8" t="n"/>
      <c r="C200" s="8" t="n"/>
      <c r="D200" s="8" t="n"/>
      <c r="E200" s="14" t="n"/>
      <c r="F200" s="8" t="n"/>
      <c r="G200" s="72">
        <f>IF(A200&lt;&gt;"",TEXT(A200,"YYYY-MM"),"")</f>
        <v/>
      </c>
    </row>
    <row r="201">
      <c r="A201" s="71" t="n"/>
      <c r="B201" s="8" t="n"/>
      <c r="C201" s="8" t="n"/>
      <c r="D201" s="8" t="n"/>
      <c r="E201" s="14" t="n"/>
      <c r="F201" s="8" t="n"/>
      <c r="G201" s="72">
        <f>IF(A201&lt;&gt;"",TEXT(A201,"YYYY-MM"),"")</f>
        <v/>
      </c>
    </row>
    <row r="202">
      <c r="A202" s="71" t="n"/>
      <c r="B202" s="8" t="n"/>
      <c r="C202" s="8" t="n"/>
      <c r="D202" s="8" t="n"/>
      <c r="E202" s="14" t="n"/>
      <c r="F202" s="8" t="n"/>
      <c r="G202" s="72">
        <f>IF(A202&lt;&gt;"",TEXT(A202,"YYYY-MM"),"")</f>
        <v/>
      </c>
    </row>
    <row r="203">
      <c r="A203" s="71" t="n"/>
      <c r="B203" s="8" t="n"/>
      <c r="C203" s="8" t="n"/>
      <c r="D203" s="8" t="n"/>
      <c r="E203" s="14" t="n"/>
      <c r="F203" s="8" t="n"/>
      <c r="G203" s="72">
        <f>IF(A203&lt;&gt;"",TEXT(A203,"YYYY-MM"),"")</f>
        <v/>
      </c>
    </row>
    <row r="204">
      <c r="A204" s="71" t="n"/>
      <c r="B204" s="8" t="n"/>
      <c r="C204" s="8" t="n"/>
      <c r="D204" s="8" t="n"/>
      <c r="E204" s="14" t="n"/>
      <c r="F204" s="8" t="n"/>
      <c r="G204" s="72">
        <f>IF(A204&lt;&gt;"",TEXT(A204,"YYYY-MM"),"")</f>
        <v/>
      </c>
    </row>
    <row r="205">
      <c r="A205" s="71" t="n"/>
      <c r="B205" s="8" t="n"/>
      <c r="C205" s="8" t="n"/>
      <c r="D205" s="8" t="n"/>
      <c r="E205" s="14" t="n"/>
      <c r="F205" s="8" t="n"/>
      <c r="G205" s="72">
        <f>IF(A205&lt;&gt;"",TEXT(A205,"YYYY-MM"),"")</f>
        <v/>
      </c>
    </row>
    <row r="206">
      <c r="A206" s="71" t="n"/>
      <c r="B206" s="8" t="n"/>
      <c r="C206" s="8" t="n"/>
      <c r="D206" s="8" t="n"/>
      <c r="E206" s="14" t="n"/>
      <c r="F206" s="8" t="n"/>
      <c r="G206" s="72">
        <f>IF(A206&lt;&gt;"",TEXT(A206,"YYYY-MM"),"")</f>
        <v/>
      </c>
    </row>
    <row r="207">
      <c r="A207" s="71" t="n"/>
      <c r="B207" s="8" t="n"/>
      <c r="C207" s="8" t="n"/>
      <c r="D207" s="8" t="n"/>
      <c r="E207" s="14" t="n"/>
      <c r="F207" s="8" t="n"/>
      <c r="G207" s="72">
        <f>IF(A207&lt;&gt;"",TEXT(A207,"YYYY-MM"),"")</f>
        <v/>
      </c>
    </row>
    <row r="208">
      <c r="A208" s="71" t="n"/>
      <c r="B208" s="8" t="n"/>
      <c r="C208" s="8" t="n"/>
      <c r="D208" s="8" t="n"/>
      <c r="E208" s="14" t="n"/>
      <c r="F208" s="8" t="n"/>
      <c r="G208" s="72">
        <f>IF(A208&lt;&gt;"",TEXT(A208,"YYYY-MM"),"")</f>
        <v/>
      </c>
    </row>
    <row r="209">
      <c r="A209" s="71" t="n"/>
      <c r="B209" s="8" t="n"/>
      <c r="C209" s="8" t="n"/>
      <c r="D209" s="8" t="n"/>
      <c r="E209" s="14" t="n"/>
      <c r="F209" s="8" t="n"/>
      <c r="G209" s="72">
        <f>IF(A209&lt;&gt;"",TEXT(A209,"YYYY-MM"),"")</f>
        <v/>
      </c>
    </row>
    <row r="210">
      <c r="A210" s="71" t="n"/>
      <c r="B210" s="8" t="n"/>
      <c r="C210" s="8" t="n"/>
      <c r="D210" s="8" t="n"/>
      <c r="E210" s="14" t="n"/>
      <c r="F210" s="8" t="n"/>
      <c r="G210" s="72">
        <f>IF(A210&lt;&gt;"",TEXT(A210,"YYYY-MM"),"")</f>
        <v/>
      </c>
    </row>
    <row r="211">
      <c r="A211" s="71" t="n"/>
      <c r="B211" s="8" t="n"/>
      <c r="C211" s="8" t="n"/>
      <c r="D211" s="8" t="n"/>
      <c r="E211" s="14" t="n"/>
      <c r="F211" s="8" t="n"/>
      <c r="G211" s="72">
        <f>IF(A211&lt;&gt;"",TEXT(A211,"YYYY-MM"),"")</f>
        <v/>
      </c>
    </row>
    <row r="212">
      <c r="A212" s="71" t="n"/>
      <c r="B212" s="8" t="n"/>
      <c r="C212" s="8" t="n"/>
      <c r="D212" s="8" t="n"/>
      <c r="E212" s="14" t="n"/>
      <c r="F212" s="8" t="n"/>
      <c r="G212" s="72">
        <f>IF(A212&lt;&gt;"",TEXT(A212,"YYYY-MM"),"")</f>
        <v/>
      </c>
    </row>
    <row r="213">
      <c r="A213" s="71" t="n"/>
      <c r="B213" s="8" t="n"/>
      <c r="C213" s="8" t="n"/>
      <c r="D213" s="8" t="n"/>
      <c r="E213" s="14" t="n"/>
      <c r="F213" s="8" t="n"/>
      <c r="G213" s="72">
        <f>IF(A213&lt;&gt;"",TEXT(A213,"YYYY-MM"),"")</f>
        <v/>
      </c>
    </row>
    <row r="214">
      <c r="A214" s="71" t="n"/>
      <c r="B214" s="8" t="n"/>
      <c r="C214" s="8" t="n"/>
      <c r="D214" s="8" t="n"/>
      <c r="E214" s="14" t="n"/>
      <c r="F214" s="8" t="n"/>
      <c r="G214" s="72">
        <f>IF(A214&lt;&gt;"",TEXT(A214,"YYYY-MM"),"")</f>
        <v/>
      </c>
    </row>
    <row r="215">
      <c r="A215" s="71" t="n"/>
      <c r="B215" s="8" t="n"/>
      <c r="C215" s="8" t="n"/>
      <c r="D215" s="8" t="n"/>
      <c r="E215" s="14" t="n"/>
      <c r="F215" s="8" t="n"/>
      <c r="G215" s="72">
        <f>IF(A215&lt;&gt;"",TEXT(A215,"YYYY-MM"),"")</f>
        <v/>
      </c>
    </row>
    <row r="216">
      <c r="A216" s="71" t="n"/>
      <c r="B216" s="8" t="n"/>
      <c r="C216" s="8" t="n"/>
      <c r="D216" s="8" t="n"/>
      <c r="E216" s="14" t="n"/>
      <c r="F216" s="8" t="n"/>
      <c r="G216" s="72">
        <f>IF(A216&lt;&gt;"",TEXT(A216,"YYYY-MM"),"")</f>
        <v/>
      </c>
    </row>
    <row r="217">
      <c r="A217" s="71" t="n"/>
      <c r="B217" s="8" t="n"/>
      <c r="C217" s="8" t="n"/>
      <c r="D217" s="8" t="n"/>
      <c r="E217" s="14" t="n"/>
      <c r="F217" s="8" t="n"/>
      <c r="G217" s="72">
        <f>IF(A217&lt;&gt;"",TEXT(A217,"YYYY-MM"),"")</f>
        <v/>
      </c>
    </row>
    <row r="218">
      <c r="A218" s="71" t="n"/>
      <c r="B218" s="8" t="n"/>
      <c r="C218" s="8" t="n"/>
      <c r="D218" s="8" t="n"/>
      <c r="E218" s="14" t="n"/>
      <c r="F218" s="8" t="n"/>
      <c r="G218" s="72">
        <f>IF(A218&lt;&gt;"",TEXT(A218,"YYYY-MM"),"")</f>
        <v/>
      </c>
    </row>
    <row r="219">
      <c r="A219" s="71" t="n"/>
      <c r="B219" s="8" t="n"/>
      <c r="C219" s="8" t="n"/>
      <c r="D219" s="8" t="n"/>
      <c r="E219" s="14" t="n"/>
      <c r="F219" s="8" t="n"/>
      <c r="G219" s="72">
        <f>IF(A219&lt;&gt;"",TEXT(A219,"YYYY-MM"),"")</f>
        <v/>
      </c>
    </row>
    <row r="220">
      <c r="A220" s="71" t="n"/>
      <c r="B220" s="8" t="n"/>
      <c r="C220" s="8" t="n"/>
      <c r="D220" s="8" t="n"/>
      <c r="E220" s="14" t="n"/>
      <c r="F220" s="8" t="n"/>
      <c r="G220" s="72">
        <f>IF(A220&lt;&gt;"",TEXT(A220,"YYYY-MM"),"")</f>
        <v/>
      </c>
    </row>
    <row r="221">
      <c r="A221" s="71" t="n"/>
      <c r="B221" s="8" t="n"/>
      <c r="C221" s="8" t="n"/>
      <c r="D221" s="8" t="n"/>
      <c r="E221" s="14" t="n"/>
      <c r="F221" s="8" t="n"/>
      <c r="G221" s="72">
        <f>IF(A221&lt;&gt;"",TEXT(A221,"YYYY-MM"),"")</f>
        <v/>
      </c>
    </row>
    <row r="222">
      <c r="A222" s="71" t="n"/>
      <c r="B222" s="8" t="n"/>
      <c r="C222" s="8" t="n"/>
      <c r="D222" s="8" t="n"/>
      <c r="E222" s="14" t="n"/>
      <c r="F222" s="8" t="n"/>
      <c r="G222" s="72">
        <f>IF(A222&lt;&gt;"",TEXT(A222,"YYYY-MM"),"")</f>
        <v/>
      </c>
    </row>
    <row r="223">
      <c r="A223" s="71" t="n"/>
      <c r="B223" s="8" t="n"/>
      <c r="C223" s="8" t="n"/>
      <c r="D223" s="8" t="n"/>
      <c r="E223" s="14" t="n"/>
      <c r="F223" s="8" t="n"/>
      <c r="G223" s="72">
        <f>IF(A223&lt;&gt;"",TEXT(A223,"YYYY-MM"),"")</f>
        <v/>
      </c>
    </row>
    <row r="224">
      <c r="A224" s="71" t="n"/>
      <c r="B224" s="8" t="n"/>
      <c r="C224" s="8" t="n"/>
      <c r="D224" s="8" t="n"/>
      <c r="E224" s="14" t="n"/>
      <c r="F224" s="8" t="n"/>
      <c r="G224" s="72">
        <f>IF(A224&lt;&gt;"",TEXT(A224,"YYYY-MM"),"")</f>
        <v/>
      </c>
    </row>
    <row r="225">
      <c r="A225" s="71" t="n"/>
      <c r="B225" s="8" t="n"/>
      <c r="C225" s="8" t="n"/>
      <c r="D225" s="8" t="n"/>
      <c r="E225" s="14" t="n"/>
      <c r="F225" s="8" t="n"/>
      <c r="G225" s="72">
        <f>IF(A225&lt;&gt;"",TEXT(A225,"YYYY-MM"),"")</f>
        <v/>
      </c>
    </row>
    <row r="226">
      <c r="A226" s="71" t="n"/>
      <c r="B226" s="8" t="n"/>
      <c r="C226" s="8" t="n"/>
      <c r="D226" s="8" t="n"/>
      <c r="E226" s="14" t="n"/>
      <c r="F226" s="8" t="n"/>
      <c r="G226" s="72">
        <f>IF(A226&lt;&gt;"",TEXT(A226,"YYYY-MM"),"")</f>
        <v/>
      </c>
    </row>
    <row r="227">
      <c r="A227" s="71" t="n"/>
      <c r="B227" s="8" t="n"/>
      <c r="C227" s="8" t="n"/>
      <c r="D227" s="8" t="n"/>
      <c r="E227" s="14" t="n"/>
      <c r="F227" s="8" t="n"/>
      <c r="G227" s="72">
        <f>IF(A227&lt;&gt;"",TEXT(A227,"YYYY-MM"),"")</f>
        <v/>
      </c>
    </row>
    <row r="228">
      <c r="A228" s="71" t="n"/>
      <c r="B228" s="8" t="n"/>
      <c r="C228" s="8" t="n"/>
      <c r="D228" s="8" t="n"/>
      <c r="E228" s="14" t="n"/>
      <c r="F228" s="8" t="n"/>
      <c r="G228" s="72">
        <f>IF(A228&lt;&gt;"",TEXT(A228,"YYYY-MM"),"")</f>
        <v/>
      </c>
    </row>
    <row r="229">
      <c r="A229" s="71" t="n"/>
      <c r="B229" s="8" t="n"/>
      <c r="C229" s="8" t="n"/>
      <c r="D229" s="8" t="n"/>
      <c r="E229" s="14" t="n"/>
      <c r="F229" s="8" t="n"/>
      <c r="G229" s="72">
        <f>IF(A229&lt;&gt;"",TEXT(A229,"YYYY-MM"),"")</f>
        <v/>
      </c>
    </row>
    <row r="230">
      <c r="A230" s="71" t="n"/>
      <c r="B230" s="8" t="n"/>
      <c r="C230" s="8" t="n"/>
      <c r="D230" s="8" t="n"/>
      <c r="E230" s="14" t="n"/>
      <c r="F230" s="8" t="n"/>
      <c r="G230" s="72">
        <f>IF(A230&lt;&gt;"",TEXT(A230,"YYYY-MM"),"")</f>
        <v/>
      </c>
    </row>
    <row r="231">
      <c r="A231" s="71" t="n"/>
      <c r="B231" s="8" t="n"/>
      <c r="C231" s="8" t="n"/>
      <c r="D231" s="8" t="n"/>
      <c r="E231" s="14" t="n"/>
      <c r="F231" s="8" t="n"/>
      <c r="G231" s="72">
        <f>IF(A231&lt;&gt;"",TEXT(A231,"YYYY-MM"),"")</f>
        <v/>
      </c>
    </row>
    <row r="232">
      <c r="A232" s="71" t="n"/>
      <c r="B232" s="8" t="n"/>
      <c r="C232" s="8" t="n"/>
      <c r="D232" s="8" t="n"/>
      <c r="E232" s="14" t="n"/>
      <c r="F232" s="8" t="n"/>
      <c r="G232" s="72">
        <f>IF(A232&lt;&gt;"",TEXT(A232,"YYYY-MM"),"")</f>
        <v/>
      </c>
    </row>
    <row r="233">
      <c r="A233" s="71" t="n"/>
      <c r="B233" s="8" t="n"/>
      <c r="C233" s="8" t="n"/>
      <c r="D233" s="8" t="n"/>
      <c r="E233" s="14" t="n"/>
      <c r="F233" s="8" t="n"/>
      <c r="G233" s="72">
        <f>IF(A233&lt;&gt;"",TEXT(A233,"YYYY-MM"),"")</f>
        <v/>
      </c>
    </row>
    <row r="234">
      <c r="A234" s="71" t="n"/>
      <c r="B234" s="8" t="n"/>
      <c r="C234" s="8" t="n"/>
      <c r="D234" s="8" t="n"/>
      <c r="E234" s="14" t="n"/>
      <c r="F234" s="8" t="n"/>
      <c r="G234" s="72">
        <f>IF(A234&lt;&gt;"",TEXT(A234,"YYYY-MM"),"")</f>
        <v/>
      </c>
    </row>
    <row r="235">
      <c r="A235" s="71" t="n"/>
      <c r="B235" s="8" t="n"/>
      <c r="C235" s="8" t="n"/>
      <c r="D235" s="8" t="n"/>
      <c r="E235" s="14" t="n"/>
      <c r="F235" s="8" t="n"/>
      <c r="G235" s="72">
        <f>IF(A235&lt;&gt;"",TEXT(A235,"YYYY-MM"),"")</f>
        <v/>
      </c>
    </row>
    <row r="236">
      <c r="A236" s="71" t="n"/>
      <c r="B236" s="8" t="n"/>
      <c r="C236" s="8" t="n"/>
      <c r="D236" s="8" t="n"/>
      <c r="E236" s="14" t="n"/>
      <c r="F236" s="8" t="n"/>
      <c r="G236" s="72">
        <f>IF(A236&lt;&gt;"",TEXT(A236,"YYYY-MM"),"")</f>
        <v/>
      </c>
    </row>
    <row r="237">
      <c r="A237" s="71" t="n"/>
      <c r="B237" s="8" t="n"/>
      <c r="C237" s="8" t="n"/>
      <c r="D237" s="8" t="n"/>
      <c r="E237" s="14" t="n"/>
      <c r="F237" s="8" t="n"/>
      <c r="G237" s="72">
        <f>IF(A237&lt;&gt;"",TEXT(A237,"YYYY-MM"),"")</f>
        <v/>
      </c>
    </row>
    <row r="238">
      <c r="A238" s="71" t="n"/>
      <c r="B238" s="8" t="n"/>
      <c r="C238" s="8" t="n"/>
      <c r="D238" s="8" t="n"/>
      <c r="E238" s="14" t="n"/>
      <c r="F238" s="8" t="n"/>
      <c r="G238" s="72">
        <f>IF(A238&lt;&gt;"",TEXT(A238,"YYYY-MM"),"")</f>
        <v/>
      </c>
    </row>
    <row r="239">
      <c r="A239" s="71" t="n"/>
      <c r="B239" s="8" t="n"/>
      <c r="C239" s="8" t="n"/>
      <c r="D239" s="8" t="n"/>
      <c r="E239" s="14" t="n"/>
      <c r="F239" s="8" t="n"/>
      <c r="G239" s="72">
        <f>IF(A239&lt;&gt;"",TEXT(A239,"YYYY-MM"),"")</f>
        <v/>
      </c>
    </row>
    <row r="240">
      <c r="A240" s="71" t="n"/>
      <c r="B240" s="8" t="n"/>
      <c r="C240" s="8" t="n"/>
      <c r="D240" s="8" t="n"/>
      <c r="E240" s="14" t="n"/>
      <c r="F240" s="8" t="n"/>
      <c r="G240" s="72">
        <f>IF(A240&lt;&gt;"",TEXT(A240,"YYYY-MM"),"")</f>
        <v/>
      </c>
    </row>
    <row r="241">
      <c r="A241" s="71" t="n"/>
      <c r="B241" s="8" t="n"/>
      <c r="C241" s="8" t="n"/>
      <c r="D241" s="8" t="n"/>
      <c r="E241" s="14" t="n"/>
      <c r="F241" s="8" t="n"/>
      <c r="G241" s="72">
        <f>IF(A241&lt;&gt;"",TEXT(A241,"YYYY-MM"),"")</f>
        <v/>
      </c>
    </row>
    <row r="242">
      <c r="A242" s="71" t="n"/>
      <c r="B242" s="8" t="n"/>
      <c r="C242" s="8" t="n"/>
      <c r="D242" s="8" t="n"/>
      <c r="E242" s="14" t="n"/>
      <c r="F242" s="8" t="n"/>
      <c r="G242" s="72">
        <f>IF(A242&lt;&gt;"",TEXT(A242,"YYYY-MM"),"")</f>
        <v/>
      </c>
    </row>
    <row r="243">
      <c r="A243" s="71" t="n"/>
      <c r="B243" s="8" t="n"/>
      <c r="C243" s="8" t="n"/>
      <c r="D243" s="8" t="n"/>
      <c r="E243" s="14" t="n"/>
      <c r="F243" s="8" t="n"/>
      <c r="G243" s="72">
        <f>IF(A243&lt;&gt;"",TEXT(A243,"YYYY-MM"),"")</f>
        <v/>
      </c>
    </row>
    <row r="244">
      <c r="A244" s="71" t="n"/>
      <c r="B244" s="8" t="n"/>
      <c r="C244" s="8" t="n"/>
      <c r="D244" s="8" t="n"/>
      <c r="E244" s="14" t="n"/>
      <c r="F244" s="8" t="n"/>
      <c r="G244" s="72">
        <f>IF(A244&lt;&gt;"",TEXT(A244,"YYYY-MM"),"")</f>
        <v/>
      </c>
    </row>
    <row r="245">
      <c r="A245" s="71" t="n"/>
      <c r="B245" s="8" t="n"/>
      <c r="C245" s="8" t="n"/>
      <c r="D245" s="8" t="n"/>
      <c r="E245" s="14" t="n"/>
      <c r="F245" s="8" t="n"/>
      <c r="G245" s="72">
        <f>IF(A245&lt;&gt;"",TEXT(A245,"YYYY-MM"),"")</f>
        <v/>
      </c>
    </row>
    <row r="246">
      <c r="A246" s="71" t="n"/>
      <c r="B246" s="8" t="n"/>
      <c r="C246" s="8" t="n"/>
      <c r="D246" s="8" t="n"/>
      <c r="E246" s="14" t="n"/>
      <c r="F246" s="8" t="n"/>
      <c r="G246" s="72">
        <f>IF(A246&lt;&gt;"",TEXT(A246,"YYYY-MM"),"")</f>
        <v/>
      </c>
    </row>
    <row r="247">
      <c r="A247" s="71" t="n"/>
      <c r="B247" s="8" t="n"/>
      <c r="C247" s="8" t="n"/>
      <c r="D247" s="8" t="n"/>
      <c r="E247" s="14" t="n"/>
      <c r="F247" s="8" t="n"/>
      <c r="G247" s="72">
        <f>IF(A247&lt;&gt;"",TEXT(A247,"YYYY-MM"),"")</f>
        <v/>
      </c>
    </row>
    <row r="248">
      <c r="A248" s="71" t="n"/>
      <c r="B248" s="8" t="n"/>
      <c r="C248" s="8" t="n"/>
      <c r="D248" s="8" t="n"/>
      <c r="E248" s="14" t="n"/>
      <c r="F248" s="8" t="n"/>
      <c r="G248" s="72">
        <f>IF(A248&lt;&gt;"",TEXT(A248,"YYYY-MM"),"")</f>
        <v/>
      </c>
    </row>
    <row r="249">
      <c r="A249" s="71" t="n"/>
      <c r="B249" s="8" t="n"/>
      <c r="C249" s="8" t="n"/>
      <c r="D249" s="8" t="n"/>
      <c r="E249" s="14" t="n"/>
      <c r="F249" s="8" t="n"/>
      <c r="G249" s="72">
        <f>IF(A249&lt;&gt;"",TEXT(A249,"YYYY-MM"),"")</f>
        <v/>
      </c>
    </row>
    <row r="250">
      <c r="A250" s="71" t="n"/>
      <c r="B250" s="8" t="n"/>
      <c r="C250" s="8" t="n"/>
      <c r="D250" s="8" t="n"/>
      <c r="E250" s="14" t="n"/>
      <c r="F250" s="8" t="n"/>
      <c r="G250" s="72">
        <f>IF(A250&lt;&gt;"",TEXT(A250,"YYYY-MM"),"")</f>
        <v/>
      </c>
    </row>
    <row r="251">
      <c r="A251" s="71" t="n"/>
      <c r="B251" s="8" t="n"/>
      <c r="C251" s="8" t="n"/>
      <c r="D251" s="8" t="n"/>
      <c r="E251" s="14" t="n"/>
      <c r="F251" s="8" t="n"/>
      <c r="G251" s="72">
        <f>IF(A251&lt;&gt;"",TEXT(A251,"YYYY-MM"),"")</f>
        <v/>
      </c>
    </row>
    <row r="252">
      <c r="A252" s="71" t="n"/>
      <c r="B252" s="8" t="n"/>
      <c r="C252" s="8" t="n"/>
      <c r="D252" s="8" t="n"/>
      <c r="E252" s="14" t="n"/>
      <c r="F252" s="8" t="n"/>
      <c r="G252" s="72">
        <f>IF(A252&lt;&gt;"",TEXT(A252,"YYYY-MM"),"")</f>
        <v/>
      </c>
    </row>
    <row r="253">
      <c r="A253" s="71" t="n"/>
      <c r="B253" s="8" t="n"/>
      <c r="C253" s="8" t="n"/>
      <c r="D253" s="8" t="n"/>
      <c r="E253" s="14" t="n"/>
      <c r="F253" s="8" t="n"/>
      <c r="G253" s="72">
        <f>IF(A253&lt;&gt;"",TEXT(A253,"YYYY-MM"),"")</f>
        <v/>
      </c>
    </row>
    <row r="254">
      <c r="A254" s="71" t="n"/>
      <c r="B254" s="8" t="n"/>
      <c r="C254" s="8" t="n"/>
      <c r="D254" s="8" t="n"/>
      <c r="E254" s="14" t="n"/>
      <c r="F254" s="8" t="n"/>
      <c r="G254" s="72">
        <f>IF(A254&lt;&gt;"",TEXT(A254,"YYYY-MM"),"")</f>
        <v/>
      </c>
    </row>
    <row r="255">
      <c r="A255" s="71" t="n"/>
      <c r="B255" s="8" t="n"/>
      <c r="C255" s="8" t="n"/>
      <c r="D255" s="8" t="n"/>
      <c r="E255" s="14" t="n"/>
      <c r="F255" s="8" t="n"/>
      <c r="G255" s="72">
        <f>IF(A255&lt;&gt;"",TEXT(A255,"YYYY-MM"),"")</f>
        <v/>
      </c>
    </row>
    <row r="256">
      <c r="A256" s="71" t="n"/>
      <c r="B256" s="8" t="n"/>
      <c r="C256" s="8" t="n"/>
      <c r="D256" s="8" t="n"/>
      <c r="E256" s="14" t="n"/>
      <c r="F256" s="8" t="n"/>
      <c r="G256" s="72">
        <f>IF(A256&lt;&gt;"",TEXT(A256,"YYYY-MM"),"")</f>
        <v/>
      </c>
    </row>
    <row r="257">
      <c r="A257" s="71" t="n"/>
      <c r="B257" s="8" t="n"/>
      <c r="C257" s="8" t="n"/>
      <c r="D257" s="8" t="n"/>
      <c r="E257" s="14" t="n"/>
      <c r="F257" s="8" t="n"/>
      <c r="G257" s="72">
        <f>IF(A257&lt;&gt;"",TEXT(A257,"YYYY-MM"),"")</f>
        <v/>
      </c>
    </row>
    <row r="258">
      <c r="A258" s="71" t="n"/>
      <c r="B258" s="8" t="n"/>
      <c r="C258" s="8" t="n"/>
      <c r="D258" s="8" t="n"/>
      <c r="E258" s="14" t="n"/>
      <c r="F258" s="8" t="n"/>
      <c r="G258" s="72">
        <f>IF(A258&lt;&gt;"",TEXT(A258,"YYYY-MM"),"")</f>
        <v/>
      </c>
    </row>
    <row r="259">
      <c r="A259" s="71" t="n"/>
      <c r="B259" s="8" t="n"/>
      <c r="C259" s="8" t="n"/>
      <c r="D259" s="8" t="n"/>
      <c r="E259" s="14" t="n"/>
      <c r="F259" s="8" t="n"/>
      <c r="G259" s="72">
        <f>IF(A259&lt;&gt;"",TEXT(A259,"YYYY-MM"),"")</f>
        <v/>
      </c>
    </row>
    <row r="260">
      <c r="A260" s="71" t="n"/>
      <c r="B260" s="8" t="n"/>
      <c r="C260" s="8" t="n"/>
      <c r="D260" s="8" t="n"/>
      <c r="E260" s="14" t="n"/>
      <c r="F260" s="8" t="n"/>
      <c r="G260" s="72">
        <f>IF(A260&lt;&gt;"",TEXT(A260,"YYYY-MM"),"")</f>
        <v/>
      </c>
    </row>
    <row r="261">
      <c r="A261" s="71" t="n"/>
      <c r="B261" s="8" t="n"/>
      <c r="C261" s="8" t="n"/>
      <c r="D261" s="8" t="n"/>
      <c r="E261" s="14" t="n"/>
      <c r="F261" s="8" t="n"/>
      <c r="G261" s="72">
        <f>IF(A261&lt;&gt;"",TEXT(A261,"YYYY-MM"),"")</f>
        <v/>
      </c>
    </row>
    <row r="262">
      <c r="A262" s="71" t="n"/>
      <c r="B262" s="8" t="n"/>
      <c r="C262" s="8" t="n"/>
      <c r="D262" s="8" t="n"/>
      <c r="E262" s="14" t="n"/>
      <c r="F262" s="8" t="n"/>
      <c r="G262" s="72">
        <f>IF(A262&lt;&gt;"",TEXT(A262,"YYYY-MM"),"")</f>
        <v/>
      </c>
    </row>
    <row r="263">
      <c r="A263" s="71" t="n"/>
      <c r="B263" s="8" t="n"/>
      <c r="C263" s="8" t="n"/>
      <c r="D263" s="8" t="n"/>
      <c r="E263" s="14" t="n"/>
      <c r="F263" s="8" t="n"/>
      <c r="G263" s="72">
        <f>IF(A263&lt;&gt;"",TEXT(A263,"YYYY-MM"),"")</f>
        <v/>
      </c>
    </row>
    <row r="264">
      <c r="A264" s="71" t="n"/>
      <c r="B264" s="8" t="n"/>
      <c r="C264" s="8" t="n"/>
      <c r="D264" s="8" t="n"/>
      <c r="E264" s="14" t="n"/>
      <c r="F264" s="8" t="n"/>
      <c r="G264" s="72">
        <f>IF(A264&lt;&gt;"",TEXT(A264,"YYYY-MM"),"")</f>
        <v/>
      </c>
    </row>
    <row r="265">
      <c r="A265" s="71" t="n"/>
      <c r="B265" s="8" t="n"/>
      <c r="C265" s="8" t="n"/>
      <c r="D265" s="8" t="n"/>
      <c r="E265" s="14" t="n"/>
      <c r="F265" s="8" t="n"/>
      <c r="G265" s="72">
        <f>IF(A265&lt;&gt;"",TEXT(A265,"YYYY-MM"),"")</f>
        <v/>
      </c>
    </row>
    <row r="266">
      <c r="A266" s="71" t="n"/>
      <c r="B266" s="8" t="n"/>
      <c r="C266" s="8" t="n"/>
      <c r="D266" s="8" t="n"/>
      <c r="E266" s="14" t="n"/>
      <c r="F266" s="8" t="n"/>
      <c r="G266" s="72">
        <f>IF(A266&lt;&gt;"",TEXT(A266,"YYYY-MM"),"")</f>
        <v/>
      </c>
    </row>
    <row r="267">
      <c r="A267" s="71" t="n"/>
      <c r="B267" s="8" t="n"/>
      <c r="C267" s="8" t="n"/>
      <c r="D267" s="8" t="n"/>
      <c r="E267" s="14" t="n"/>
      <c r="F267" s="8" t="n"/>
      <c r="G267" s="72">
        <f>IF(A267&lt;&gt;"",TEXT(A267,"YYYY-MM"),"")</f>
        <v/>
      </c>
    </row>
    <row r="268">
      <c r="A268" s="71" t="n"/>
      <c r="B268" s="8" t="n"/>
      <c r="C268" s="8" t="n"/>
      <c r="D268" s="8" t="n"/>
      <c r="E268" s="14" t="n"/>
      <c r="F268" s="8" t="n"/>
      <c r="G268" s="72">
        <f>IF(A268&lt;&gt;"",TEXT(A268,"YYYY-MM"),"")</f>
        <v/>
      </c>
    </row>
    <row r="269">
      <c r="A269" s="71" t="n"/>
      <c r="B269" s="8" t="n"/>
      <c r="C269" s="8" t="n"/>
      <c r="D269" s="8" t="n"/>
      <c r="E269" s="14" t="n"/>
      <c r="F269" s="8" t="n"/>
      <c r="G269" s="72">
        <f>IF(A269&lt;&gt;"",TEXT(A269,"YYYY-MM"),"")</f>
        <v/>
      </c>
    </row>
    <row r="270">
      <c r="A270" s="71" t="n"/>
      <c r="B270" s="8" t="n"/>
      <c r="C270" s="8" t="n"/>
      <c r="D270" s="8" t="n"/>
      <c r="E270" s="14" t="n"/>
      <c r="F270" s="8" t="n"/>
      <c r="G270" s="72">
        <f>IF(A270&lt;&gt;"",TEXT(A270,"YYYY-MM"),"")</f>
        <v/>
      </c>
    </row>
    <row r="271">
      <c r="A271" s="71" t="n"/>
      <c r="B271" s="8" t="n"/>
      <c r="C271" s="8" t="n"/>
      <c r="D271" s="8" t="n"/>
      <c r="E271" s="14" t="n"/>
      <c r="F271" s="8" t="n"/>
      <c r="G271" s="72">
        <f>IF(A271&lt;&gt;"",TEXT(A271,"YYYY-MM"),"")</f>
        <v/>
      </c>
    </row>
    <row r="272">
      <c r="A272" s="71" t="n"/>
      <c r="B272" s="8" t="n"/>
      <c r="C272" s="8" t="n"/>
      <c r="D272" s="8" t="n"/>
      <c r="E272" s="14" t="n"/>
      <c r="F272" s="8" t="n"/>
      <c r="G272" s="72">
        <f>IF(A272&lt;&gt;"",TEXT(A272,"YYYY-MM"),"")</f>
        <v/>
      </c>
    </row>
    <row r="273">
      <c r="A273" s="71" t="n"/>
      <c r="B273" s="8" t="n"/>
      <c r="C273" s="8" t="n"/>
      <c r="D273" s="8" t="n"/>
      <c r="E273" s="14" t="n"/>
      <c r="F273" s="8" t="n"/>
      <c r="G273" s="72">
        <f>IF(A273&lt;&gt;"",TEXT(A273,"YYYY-MM"),"")</f>
        <v/>
      </c>
    </row>
    <row r="274">
      <c r="A274" s="71" t="n"/>
      <c r="B274" s="8" t="n"/>
      <c r="C274" s="8" t="n"/>
      <c r="D274" s="8" t="n"/>
      <c r="E274" s="14" t="n"/>
      <c r="F274" s="8" t="n"/>
      <c r="G274" s="72">
        <f>IF(A274&lt;&gt;"",TEXT(A274,"YYYY-MM"),"")</f>
        <v/>
      </c>
    </row>
    <row r="275">
      <c r="A275" s="71" t="n"/>
      <c r="B275" s="8" t="n"/>
      <c r="C275" s="8" t="n"/>
      <c r="D275" s="8" t="n"/>
      <c r="E275" s="14" t="n"/>
      <c r="F275" s="8" t="n"/>
      <c r="G275" s="72">
        <f>IF(A275&lt;&gt;"",TEXT(A275,"YYYY-MM"),"")</f>
        <v/>
      </c>
    </row>
    <row r="276">
      <c r="A276" s="71" t="n"/>
      <c r="B276" s="8" t="n"/>
      <c r="C276" s="8" t="n"/>
      <c r="D276" s="8" t="n"/>
      <c r="E276" s="14" t="n"/>
      <c r="F276" s="8" t="n"/>
      <c r="G276" s="72">
        <f>IF(A276&lt;&gt;"",TEXT(A276,"YYYY-MM"),"")</f>
        <v/>
      </c>
    </row>
    <row r="277">
      <c r="A277" s="71" t="n"/>
      <c r="B277" s="8" t="n"/>
      <c r="C277" s="8" t="n"/>
      <c r="D277" s="8" t="n"/>
      <c r="E277" s="14" t="n"/>
      <c r="F277" s="8" t="n"/>
      <c r="G277" s="72">
        <f>IF(A277&lt;&gt;"",TEXT(A277,"YYYY-MM"),"")</f>
        <v/>
      </c>
    </row>
    <row r="278">
      <c r="A278" s="71" t="n"/>
      <c r="B278" s="8" t="n"/>
      <c r="C278" s="8" t="n"/>
      <c r="D278" s="8" t="n"/>
      <c r="E278" s="14" t="n"/>
      <c r="F278" s="8" t="n"/>
      <c r="G278" s="72">
        <f>IF(A278&lt;&gt;"",TEXT(A278,"YYYY-MM"),"")</f>
        <v/>
      </c>
    </row>
    <row r="279">
      <c r="A279" s="71" t="n"/>
      <c r="B279" s="8" t="n"/>
      <c r="C279" s="8" t="n"/>
      <c r="D279" s="8" t="n"/>
      <c r="E279" s="14" t="n"/>
      <c r="F279" s="8" t="n"/>
      <c r="G279" s="72">
        <f>IF(A279&lt;&gt;"",TEXT(A279,"YYYY-MM"),"")</f>
        <v/>
      </c>
    </row>
    <row r="280">
      <c r="A280" s="71" t="n"/>
      <c r="B280" s="8" t="n"/>
      <c r="C280" s="8" t="n"/>
      <c r="D280" s="8" t="n"/>
      <c r="E280" s="14" t="n"/>
      <c r="F280" s="8" t="n"/>
      <c r="G280" s="72">
        <f>IF(A280&lt;&gt;"",TEXT(A280,"YYYY-MM"),"")</f>
        <v/>
      </c>
    </row>
    <row r="281">
      <c r="A281" s="71" t="n"/>
      <c r="B281" s="8" t="n"/>
      <c r="C281" s="8" t="n"/>
      <c r="D281" s="8" t="n"/>
      <c r="E281" s="14" t="n"/>
      <c r="F281" s="8" t="n"/>
      <c r="G281" s="72">
        <f>IF(A281&lt;&gt;"",TEXT(A281,"YYYY-MM"),"")</f>
        <v/>
      </c>
    </row>
    <row r="282">
      <c r="A282" s="71" t="n"/>
      <c r="B282" s="8" t="n"/>
      <c r="C282" s="8" t="n"/>
      <c r="D282" s="8" t="n"/>
      <c r="E282" s="14" t="n"/>
      <c r="F282" s="8" t="n"/>
      <c r="G282" s="72">
        <f>IF(A282&lt;&gt;"",TEXT(A282,"YYYY-MM"),"")</f>
        <v/>
      </c>
    </row>
    <row r="283">
      <c r="A283" s="71" t="n"/>
      <c r="B283" s="8" t="n"/>
      <c r="C283" s="8" t="n"/>
      <c r="D283" s="8" t="n"/>
      <c r="E283" s="14" t="n"/>
      <c r="F283" s="8" t="n"/>
      <c r="G283" s="72">
        <f>IF(A283&lt;&gt;"",TEXT(A283,"YYYY-MM"),"")</f>
        <v/>
      </c>
    </row>
    <row r="284">
      <c r="A284" s="71" t="n"/>
      <c r="B284" s="8" t="n"/>
      <c r="C284" s="8" t="n"/>
      <c r="D284" s="8" t="n"/>
      <c r="E284" s="14" t="n"/>
      <c r="F284" s="8" t="n"/>
      <c r="G284" s="72">
        <f>IF(A284&lt;&gt;"",TEXT(A284,"YYYY-MM"),"")</f>
        <v/>
      </c>
    </row>
    <row r="285">
      <c r="A285" s="71" t="n"/>
      <c r="B285" s="8" t="n"/>
      <c r="C285" s="8" t="n"/>
      <c r="D285" s="8" t="n"/>
      <c r="E285" s="14" t="n"/>
      <c r="F285" s="8" t="n"/>
      <c r="G285" s="72">
        <f>IF(A285&lt;&gt;"",TEXT(A285,"YYYY-MM"),"")</f>
        <v/>
      </c>
    </row>
    <row r="286">
      <c r="A286" s="71" t="n"/>
      <c r="B286" s="8" t="n"/>
      <c r="C286" s="8" t="n"/>
      <c r="D286" s="8" t="n"/>
      <c r="E286" s="14" t="n"/>
      <c r="F286" s="8" t="n"/>
      <c r="G286" s="72">
        <f>IF(A286&lt;&gt;"",TEXT(A286,"YYYY-MM"),"")</f>
        <v/>
      </c>
    </row>
    <row r="287">
      <c r="A287" s="71" t="n"/>
      <c r="B287" s="8" t="n"/>
      <c r="C287" s="8" t="n"/>
      <c r="D287" s="8" t="n"/>
      <c r="E287" s="14" t="n"/>
      <c r="F287" s="8" t="n"/>
      <c r="G287" s="72">
        <f>IF(A287&lt;&gt;"",TEXT(A287,"YYYY-MM"),"")</f>
        <v/>
      </c>
    </row>
    <row r="288">
      <c r="A288" s="71" t="n"/>
      <c r="B288" s="8" t="n"/>
      <c r="C288" s="8" t="n"/>
      <c r="D288" s="8" t="n"/>
      <c r="E288" s="14" t="n"/>
      <c r="F288" s="8" t="n"/>
      <c r="G288" s="72">
        <f>IF(A288&lt;&gt;"",TEXT(A288,"YYYY-MM"),"")</f>
        <v/>
      </c>
    </row>
    <row r="289">
      <c r="A289" s="71" t="n"/>
      <c r="B289" s="8" t="n"/>
      <c r="C289" s="8" t="n"/>
      <c r="D289" s="8" t="n"/>
      <c r="E289" s="14" t="n"/>
      <c r="F289" s="8" t="n"/>
      <c r="G289" s="72">
        <f>IF(A289&lt;&gt;"",TEXT(A289,"YYYY-MM"),"")</f>
        <v/>
      </c>
    </row>
    <row r="290">
      <c r="A290" s="71" t="n"/>
      <c r="B290" s="8" t="n"/>
      <c r="C290" s="8" t="n"/>
      <c r="D290" s="8" t="n"/>
      <c r="E290" s="14" t="n"/>
      <c r="F290" s="8" t="n"/>
      <c r="G290" s="72">
        <f>IF(A290&lt;&gt;"",TEXT(A290,"YYYY-MM"),"")</f>
        <v/>
      </c>
    </row>
    <row r="291">
      <c r="A291" s="71" t="n"/>
      <c r="B291" s="8" t="n"/>
      <c r="C291" s="8" t="n"/>
      <c r="D291" s="8" t="n"/>
      <c r="E291" s="14" t="n"/>
      <c r="F291" s="8" t="n"/>
      <c r="G291" s="72">
        <f>IF(A291&lt;&gt;"",TEXT(A291,"YYYY-MM"),"")</f>
        <v/>
      </c>
    </row>
    <row r="292">
      <c r="A292" s="71" t="n"/>
      <c r="B292" s="8" t="n"/>
      <c r="C292" s="8" t="n"/>
      <c r="D292" s="8" t="n"/>
      <c r="E292" s="14" t="n"/>
      <c r="F292" s="8" t="n"/>
      <c r="G292" s="72">
        <f>IF(A292&lt;&gt;"",TEXT(A292,"YYYY-MM"),"")</f>
        <v/>
      </c>
    </row>
    <row r="293">
      <c r="A293" s="71" t="n"/>
      <c r="B293" s="8" t="n"/>
      <c r="C293" s="8" t="n"/>
      <c r="D293" s="8" t="n"/>
      <c r="E293" s="14" t="n"/>
      <c r="F293" s="8" t="n"/>
      <c r="G293" s="72">
        <f>IF(A293&lt;&gt;"",TEXT(A293,"YYYY-MM"),"")</f>
        <v/>
      </c>
    </row>
    <row r="294">
      <c r="A294" s="71" t="n"/>
      <c r="B294" s="8" t="n"/>
      <c r="C294" s="8" t="n"/>
      <c r="D294" s="8" t="n"/>
      <c r="E294" s="14" t="n"/>
      <c r="F294" s="8" t="n"/>
      <c r="G294" s="72">
        <f>IF(A294&lt;&gt;"",TEXT(A294,"YYYY-MM"),"")</f>
        <v/>
      </c>
    </row>
    <row r="295">
      <c r="A295" s="71" t="n"/>
      <c r="B295" s="8" t="n"/>
      <c r="C295" s="8" t="n"/>
      <c r="D295" s="8" t="n"/>
      <c r="E295" s="14" t="n"/>
      <c r="F295" s="8" t="n"/>
      <c r="G295" s="72">
        <f>IF(A295&lt;&gt;"",TEXT(A295,"YYYY-MM"),"")</f>
        <v/>
      </c>
    </row>
    <row r="296">
      <c r="A296" s="71" t="n"/>
      <c r="B296" s="8" t="n"/>
      <c r="C296" s="8" t="n"/>
      <c r="D296" s="8" t="n"/>
      <c r="E296" s="14" t="n"/>
      <c r="F296" s="8" t="n"/>
      <c r="G296" s="72">
        <f>IF(A296&lt;&gt;"",TEXT(A296,"YYYY-MM"),"")</f>
        <v/>
      </c>
    </row>
    <row r="297">
      <c r="A297" s="71" t="n"/>
      <c r="B297" s="8" t="n"/>
      <c r="C297" s="8" t="n"/>
      <c r="D297" s="8" t="n"/>
      <c r="E297" s="14" t="n"/>
      <c r="F297" s="8" t="n"/>
      <c r="G297" s="72">
        <f>IF(A297&lt;&gt;"",TEXT(A297,"YYYY-MM"),"")</f>
        <v/>
      </c>
    </row>
    <row r="298">
      <c r="A298" s="71" t="n"/>
      <c r="B298" s="8" t="n"/>
      <c r="C298" s="8" t="n"/>
      <c r="D298" s="8" t="n"/>
      <c r="E298" s="14" t="n"/>
      <c r="F298" s="8" t="n"/>
      <c r="G298" s="72">
        <f>IF(A298&lt;&gt;"",TEXT(A298,"YYYY-MM"),"")</f>
        <v/>
      </c>
    </row>
    <row r="299">
      <c r="A299" s="71" t="n"/>
      <c r="B299" s="8" t="n"/>
      <c r="C299" s="8" t="n"/>
      <c r="D299" s="8" t="n"/>
      <c r="E299" s="14" t="n"/>
      <c r="F299" s="8" t="n"/>
      <c r="G299" s="72">
        <f>IF(A299&lt;&gt;"",TEXT(A299,"YYYY-MM"),"")</f>
        <v/>
      </c>
    </row>
    <row r="300">
      <c r="A300" s="71" t="n"/>
      <c r="B300" s="8" t="n"/>
      <c r="C300" s="8" t="n"/>
      <c r="D300" s="8" t="n"/>
      <c r="E300" s="14" t="n"/>
      <c r="F300" s="8" t="n"/>
      <c r="G300" s="72">
        <f>IF(A300&lt;&gt;"",TEXT(A300,"YYYY-MM"),"")</f>
        <v/>
      </c>
    </row>
    <row r="301">
      <c r="A301" s="71" t="n"/>
      <c r="B301" s="8" t="n"/>
      <c r="C301" s="8" t="n"/>
      <c r="D301" s="8" t="n"/>
      <c r="E301" s="14" t="n"/>
      <c r="F301" s="8" t="n"/>
      <c r="G301" s="72">
        <f>IF(A301&lt;&gt;"",TEXT(A301,"YYYY-MM"),"")</f>
        <v/>
      </c>
    </row>
    <row r="302">
      <c r="A302" s="71" t="n"/>
      <c r="B302" s="8" t="n"/>
      <c r="C302" s="8" t="n"/>
      <c r="D302" s="8" t="n"/>
      <c r="E302" s="14" t="n"/>
      <c r="F302" s="8" t="n"/>
      <c r="G302" s="72">
        <f>IF(A302&lt;&gt;"",TEXT(A302,"YYYY-MM"),"")</f>
        <v/>
      </c>
    </row>
    <row r="303">
      <c r="A303" s="71" t="n"/>
      <c r="B303" s="8" t="n"/>
      <c r="C303" s="8" t="n"/>
      <c r="D303" s="8" t="n"/>
      <c r="E303" s="14" t="n"/>
      <c r="F303" s="8" t="n"/>
      <c r="G303" s="72">
        <f>IF(A303&lt;&gt;"",TEXT(A303,"YYYY-MM"),"")</f>
        <v/>
      </c>
    </row>
    <row r="304">
      <c r="A304" s="71" t="n"/>
      <c r="B304" s="8" t="n"/>
      <c r="C304" s="8" t="n"/>
      <c r="D304" s="8" t="n"/>
      <c r="E304" s="14" t="n"/>
      <c r="F304" s="8" t="n"/>
      <c r="G304" s="72">
        <f>IF(A304&lt;&gt;"",TEXT(A304,"YYYY-MM"),"")</f>
        <v/>
      </c>
    </row>
    <row r="305">
      <c r="A305" s="71" t="n"/>
      <c r="B305" s="8" t="n"/>
      <c r="C305" s="8" t="n"/>
      <c r="D305" s="8" t="n"/>
      <c r="E305" s="14" t="n"/>
      <c r="F305" s="8" t="n"/>
      <c r="G305" s="72">
        <f>IF(A305&lt;&gt;"",TEXT(A305,"YYYY-MM"),"")</f>
        <v/>
      </c>
    </row>
    <row r="306">
      <c r="A306" s="71" t="n"/>
      <c r="B306" s="8" t="n"/>
      <c r="C306" s="8" t="n"/>
      <c r="D306" s="8" t="n"/>
      <c r="E306" s="14" t="n"/>
      <c r="F306" s="8" t="n"/>
      <c r="G306" s="72">
        <f>IF(A306&lt;&gt;"",TEXT(A306,"YYYY-MM"),"")</f>
        <v/>
      </c>
    </row>
    <row r="307">
      <c r="A307" s="71" t="n"/>
      <c r="B307" s="8" t="n"/>
      <c r="C307" s="8" t="n"/>
      <c r="D307" s="8" t="n"/>
      <c r="E307" s="14" t="n"/>
      <c r="F307" s="8" t="n"/>
      <c r="G307" s="72">
        <f>IF(A307&lt;&gt;"",TEXT(A307,"YYYY-MM"),"")</f>
        <v/>
      </c>
    </row>
    <row r="308">
      <c r="A308" s="71" t="n"/>
      <c r="B308" s="8" t="n"/>
      <c r="C308" s="8" t="n"/>
      <c r="D308" s="8" t="n"/>
      <c r="E308" s="14" t="n"/>
      <c r="F308" s="8" t="n"/>
      <c r="G308" s="72">
        <f>IF(A308&lt;&gt;"",TEXT(A308,"YYYY-MM"),"")</f>
        <v/>
      </c>
    </row>
    <row r="309">
      <c r="A309" s="71" t="n"/>
      <c r="B309" s="8" t="n"/>
      <c r="C309" s="8" t="n"/>
      <c r="D309" s="8" t="n"/>
      <c r="E309" s="14" t="n"/>
      <c r="F309" s="8" t="n"/>
      <c r="G309" s="72">
        <f>IF(A309&lt;&gt;"",TEXT(A309,"YYYY-MM"),"")</f>
        <v/>
      </c>
    </row>
    <row r="310">
      <c r="A310" s="71" t="n"/>
      <c r="B310" s="8" t="n"/>
      <c r="C310" s="8" t="n"/>
      <c r="D310" s="8" t="n"/>
      <c r="E310" s="14" t="n"/>
      <c r="F310" s="8" t="n"/>
      <c r="G310" s="72">
        <f>IF(A310&lt;&gt;"",TEXT(A310,"YYYY-MM"),"")</f>
        <v/>
      </c>
    </row>
    <row r="311">
      <c r="A311" s="71" t="n"/>
      <c r="B311" s="8" t="n"/>
      <c r="C311" s="8" t="n"/>
      <c r="D311" s="8" t="n"/>
      <c r="E311" s="14" t="n"/>
      <c r="F311" s="8" t="n"/>
      <c r="G311" s="72">
        <f>IF(A311&lt;&gt;"",TEXT(A311,"YYYY-MM"),"")</f>
        <v/>
      </c>
    </row>
    <row r="312">
      <c r="A312" s="71" t="n"/>
      <c r="B312" s="8" t="n"/>
      <c r="C312" s="8" t="n"/>
      <c r="D312" s="8" t="n"/>
      <c r="E312" s="14" t="n"/>
      <c r="F312" s="8" t="n"/>
      <c r="G312" s="72">
        <f>IF(A312&lt;&gt;"",TEXT(A312,"YYYY-MM"),"")</f>
        <v/>
      </c>
    </row>
    <row r="313">
      <c r="A313" s="71" t="n"/>
      <c r="B313" s="8" t="n"/>
      <c r="C313" s="8" t="n"/>
      <c r="D313" s="8" t="n"/>
      <c r="E313" s="14" t="n"/>
      <c r="F313" s="8" t="n"/>
      <c r="G313" s="72">
        <f>IF(A313&lt;&gt;"",TEXT(A313,"YYYY-MM"),"")</f>
        <v/>
      </c>
    </row>
    <row r="314">
      <c r="A314" s="71" t="n"/>
      <c r="B314" s="8" t="n"/>
      <c r="C314" s="8" t="n"/>
      <c r="D314" s="8" t="n"/>
      <c r="E314" s="14" t="n"/>
      <c r="F314" s="8" t="n"/>
      <c r="G314" s="72">
        <f>IF(A314&lt;&gt;"",TEXT(A314,"YYYY-MM"),"")</f>
        <v/>
      </c>
    </row>
    <row r="315">
      <c r="A315" s="71" t="n"/>
      <c r="B315" s="8" t="n"/>
      <c r="C315" s="8" t="n"/>
      <c r="D315" s="8" t="n"/>
      <c r="E315" s="14" t="n"/>
      <c r="F315" s="8" t="n"/>
      <c r="G315" s="72">
        <f>IF(A315&lt;&gt;"",TEXT(A315,"YYYY-MM"),"")</f>
        <v/>
      </c>
    </row>
    <row r="316">
      <c r="A316" s="71" t="n"/>
      <c r="B316" s="8" t="n"/>
      <c r="C316" s="8" t="n"/>
      <c r="D316" s="8" t="n"/>
      <c r="E316" s="14" t="n"/>
      <c r="F316" s="8" t="n"/>
      <c r="G316" s="72">
        <f>IF(A316&lt;&gt;"",TEXT(A316,"YYYY-MM"),"")</f>
        <v/>
      </c>
    </row>
    <row r="317">
      <c r="A317" s="71" t="n"/>
      <c r="B317" s="8" t="n"/>
      <c r="C317" s="8" t="n"/>
      <c r="D317" s="8" t="n"/>
      <c r="E317" s="14" t="n"/>
      <c r="F317" s="8" t="n"/>
      <c r="G317" s="72">
        <f>IF(A317&lt;&gt;"",TEXT(A317,"YYYY-MM"),"")</f>
        <v/>
      </c>
    </row>
    <row r="318">
      <c r="A318" s="71" t="n"/>
      <c r="B318" s="8" t="n"/>
      <c r="C318" s="8" t="n"/>
      <c r="D318" s="8" t="n"/>
      <c r="E318" s="14" t="n"/>
      <c r="F318" s="8" t="n"/>
      <c r="G318" s="72">
        <f>IF(A318&lt;&gt;"",TEXT(A318,"YYYY-MM"),"")</f>
        <v/>
      </c>
    </row>
    <row r="319">
      <c r="A319" s="71" t="n"/>
      <c r="B319" s="8" t="n"/>
      <c r="C319" s="8" t="n"/>
      <c r="D319" s="8" t="n"/>
      <c r="E319" s="14" t="n"/>
      <c r="F319" s="8" t="n"/>
      <c r="G319" s="72">
        <f>IF(A319&lt;&gt;"",TEXT(A319,"YYYY-MM"),"")</f>
        <v/>
      </c>
    </row>
    <row r="320">
      <c r="A320" s="71" t="n"/>
      <c r="B320" s="8" t="n"/>
      <c r="C320" s="8" t="n"/>
      <c r="D320" s="8" t="n"/>
      <c r="E320" s="14" t="n"/>
      <c r="F320" s="8" t="n"/>
      <c r="G320" s="72">
        <f>IF(A320&lt;&gt;"",TEXT(A320,"YYYY-MM"),"")</f>
        <v/>
      </c>
    </row>
    <row r="321">
      <c r="A321" s="71" t="n"/>
      <c r="B321" s="8" t="n"/>
      <c r="C321" s="8" t="n"/>
      <c r="D321" s="8" t="n"/>
      <c r="E321" s="14" t="n"/>
      <c r="F321" s="8" t="n"/>
      <c r="G321" s="72">
        <f>IF(A321&lt;&gt;"",TEXT(A321,"YYYY-MM"),"")</f>
        <v/>
      </c>
    </row>
    <row r="322">
      <c r="A322" s="71" t="n"/>
      <c r="B322" s="8" t="n"/>
      <c r="C322" s="8" t="n"/>
      <c r="D322" s="8" t="n"/>
      <c r="E322" s="14" t="n"/>
      <c r="F322" s="8" t="n"/>
      <c r="G322" s="72">
        <f>IF(A322&lt;&gt;"",TEXT(A322,"YYYY-MM"),"")</f>
        <v/>
      </c>
    </row>
    <row r="323">
      <c r="A323" s="71" t="n"/>
      <c r="B323" s="8" t="n"/>
      <c r="C323" s="8" t="n"/>
      <c r="D323" s="8" t="n"/>
      <c r="E323" s="14" t="n"/>
      <c r="F323" s="8" t="n"/>
      <c r="G323" s="72">
        <f>IF(A323&lt;&gt;"",TEXT(A323,"YYYY-MM"),"")</f>
        <v/>
      </c>
    </row>
    <row r="324">
      <c r="A324" s="71" t="n"/>
      <c r="B324" s="8" t="n"/>
      <c r="C324" s="8" t="n"/>
      <c r="D324" s="8" t="n"/>
      <c r="E324" s="14" t="n"/>
      <c r="F324" s="8" t="n"/>
      <c r="G324" s="72">
        <f>IF(A324&lt;&gt;"",TEXT(A324,"YYYY-MM"),"")</f>
        <v/>
      </c>
    </row>
    <row r="325">
      <c r="A325" s="71" t="n"/>
      <c r="B325" s="8" t="n"/>
      <c r="C325" s="8" t="n"/>
      <c r="D325" s="8" t="n"/>
      <c r="E325" s="14" t="n"/>
      <c r="F325" s="8" t="n"/>
      <c r="G325" s="72">
        <f>IF(A325&lt;&gt;"",TEXT(A325,"YYYY-MM"),"")</f>
        <v/>
      </c>
    </row>
    <row r="326">
      <c r="A326" s="71" t="n"/>
      <c r="B326" s="8" t="n"/>
      <c r="C326" s="8" t="n"/>
      <c r="D326" s="8" t="n"/>
      <c r="E326" s="14" t="n"/>
      <c r="F326" s="8" t="n"/>
      <c r="G326" s="72">
        <f>IF(A326&lt;&gt;"",TEXT(A326,"YYYY-MM"),"")</f>
        <v/>
      </c>
    </row>
    <row r="327">
      <c r="A327" s="71" t="n"/>
      <c r="B327" s="8" t="n"/>
      <c r="C327" s="8" t="n"/>
      <c r="D327" s="8" t="n"/>
      <c r="E327" s="14" t="n"/>
      <c r="F327" s="8" t="n"/>
      <c r="G327" s="72">
        <f>IF(A327&lt;&gt;"",TEXT(A327,"YYYY-MM"),"")</f>
        <v/>
      </c>
    </row>
    <row r="328">
      <c r="A328" s="71" t="n"/>
      <c r="B328" s="8" t="n"/>
      <c r="C328" s="8" t="n"/>
      <c r="D328" s="8" t="n"/>
      <c r="E328" s="14" t="n"/>
      <c r="F328" s="8" t="n"/>
      <c r="G328" s="72">
        <f>IF(A328&lt;&gt;"",TEXT(A328,"YYYY-MM"),"")</f>
        <v/>
      </c>
    </row>
    <row r="329">
      <c r="A329" s="71" t="n"/>
      <c r="B329" s="8" t="n"/>
      <c r="C329" s="8" t="n"/>
      <c r="D329" s="8" t="n"/>
      <c r="E329" s="14" t="n"/>
      <c r="F329" s="8" t="n"/>
      <c r="G329" s="72">
        <f>IF(A329&lt;&gt;"",TEXT(A329,"YYYY-MM"),"")</f>
        <v/>
      </c>
    </row>
    <row r="330">
      <c r="A330" s="71" t="n"/>
      <c r="B330" s="8" t="n"/>
      <c r="C330" s="8" t="n"/>
      <c r="D330" s="8" t="n"/>
      <c r="E330" s="14" t="n"/>
      <c r="F330" s="8" t="n"/>
      <c r="G330" s="72">
        <f>IF(A330&lt;&gt;"",TEXT(A330,"YYYY-MM"),"")</f>
        <v/>
      </c>
    </row>
    <row r="331">
      <c r="A331" s="71" t="n"/>
      <c r="B331" s="8" t="n"/>
      <c r="C331" s="8" t="n"/>
      <c r="D331" s="8" t="n"/>
      <c r="E331" s="14" t="n"/>
      <c r="F331" s="8" t="n"/>
      <c r="G331" s="72">
        <f>IF(A331&lt;&gt;"",TEXT(A331,"YYYY-MM"),"")</f>
        <v/>
      </c>
    </row>
    <row r="332">
      <c r="A332" s="71" t="n"/>
      <c r="B332" s="8" t="n"/>
      <c r="C332" s="8" t="n"/>
      <c r="D332" s="8" t="n"/>
      <c r="E332" s="14" t="n"/>
      <c r="F332" s="8" t="n"/>
      <c r="G332" s="72">
        <f>IF(A332&lt;&gt;"",TEXT(A332,"YYYY-MM"),"")</f>
        <v/>
      </c>
    </row>
    <row r="333">
      <c r="A333" s="71" t="n"/>
      <c r="B333" s="8" t="n"/>
      <c r="C333" s="8" t="n"/>
      <c r="D333" s="8" t="n"/>
      <c r="E333" s="14" t="n"/>
      <c r="F333" s="8" t="n"/>
      <c r="G333" s="72">
        <f>IF(A333&lt;&gt;"",TEXT(A333,"YYYY-MM"),"")</f>
        <v/>
      </c>
    </row>
    <row r="334">
      <c r="A334" s="71" t="n"/>
      <c r="B334" s="8" t="n"/>
      <c r="C334" s="8" t="n"/>
      <c r="D334" s="8" t="n"/>
      <c r="E334" s="14" t="n"/>
      <c r="F334" s="8" t="n"/>
      <c r="G334" s="72">
        <f>IF(A334&lt;&gt;"",TEXT(A334,"YYYY-MM"),"")</f>
        <v/>
      </c>
    </row>
    <row r="335">
      <c r="A335" s="71" t="n"/>
      <c r="B335" s="8" t="n"/>
      <c r="C335" s="8" t="n"/>
      <c r="D335" s="8" t="n"/>
      <c r="E335" s="14" t="n"/>
      <c r="F335" s="8" t="n"/>
      <c r="G335" s="72">
        <f>IF(A335&lt;&gt;"",TEXT(A335,"YYYY-MM"),"")</f>
        <v/>
      </c>
    </row>
    <row r="336">
      <c r="A336" s="71" t="n"/>
      <c r="B336" s="8" t="n"/>
      <c r="C336" s="8" t="n"/>
      <c r="D336" s="8" t="n"/>
      <c r="E336" s="14" t="n"/>
      <c r="F336" s="8" t="n"/>
      <c r="G336" s="72">
        <f>IF(A336&lt;&gt;"",TEXT(A336,"YYYY-MM"),"")</f>
        <v/>
      </c>
    </row>
    <row r="337">
      <c r="A337" s="71" t="n"/>
      <c r="B337" s="8" t="n"/>
      <c r="C337" s="8" t="n"/>
      <c r="D337" s="8" t="n"/>
      <c r="E337" s="14" t="n"/>
      <c r="F337" s="8" t="n"/>
      <c r="G337" s="72">
        <f>IF(A337&lt;&gt;"",TEXT(A337,"YYYY-MM"),"")</f>
        <v/>
      </c>
    </row>
    <row r="338">
      <c r="A338" s="71" t="n"/>
      <c r="B338" s="8" t="n"/>
      <c r="C338" s="8" t="n"/>
      <c r="D338" s="8" t="n"/>
      <c r="E338" s="14" t="n"/>
      <c r="F338" s="8" t="n"/>
      <c r="G338" s="72">
        <f>IF(A338&lt;&gt;"",TEXT(A338,"YYYY-MM"),"")</f>
        <v/>
      </c>
    </row>
    <row r="339">
      <c r="A339" s="71" t="n"/>
      <c r="B339" s="8" t="n"/>
      <c r="C339" s="8" t="n"/>
      <c r="D339" s="8" t="n"/>
      <c r="E339" s="14" t="n"/>
      <c r="F339" s="8" t="n"/>
      <c r="G339" s="72">
        <f>IF(A339&lt;&gt;"",TEXT(A339,"YYYY-MM"),"")</f>
        <v/>
      </c>
    </row>
    <row r="340">
      <c r="A340" s="71" t="n"/>
      <c r="B340" s="8" t="n"/>
      <c r="C340" s="8" t="n"/>
      <c r="D340" s="8" t="n"/>
      <c r="E340" s="14" t="n"/>
      <c r="F340" s="8" t="n"/>
      <c r="G340" s="72">
        <f>IF(A340&lt;&gt;"",TEXT(A340,"YYYY-MM"),"")</f>
        <v/>
      </c>
    </row>
    <row r="341">
      <c r="A341" s="71" t="n"/>
      <c r="B341" s="8" t="n"/>
      <c r="C341" s="8" t="n"/>
      <c r="D341" s="8" t="n"/>
      <c r="E341" s="14" t="n"/>
      <c r="F341" s="8" t="n"/>
      <c r="G341" s="72">
        <f>IF(A341&lt;&gt;"",TEXT(A341,"YYYY-MM"),"")</f>
        <v/>
      </c>
    </row>
    <row r="342">
      <c r="A342" s="71" t="n"/>
      <c r="B342" s="8" t="n"/>
      <c r="C342" s="8" t="n"/>
      <c r="D342" s="8" t="n"/>
      <c r="E342" s="14" t="n"/>
      <c r="F342" s="8" t="n"/>
      <c r="G342" s="72">
        <f>IF(A342&lt;&gt;"",TEXT(A342,"YYYY-MM"),"")</f>
        <v/>
      </c>
    </row>
    <row r="343">
      <c r="A343" s="71" t="n"/>
      <c r="B343" s="8" t="n"/>
      <c r="C343" s="8" t="n"/>
      <c r="D343" s="8" t="n"/>
      <c r="E343" s="14" t="n"/>
      <c r="F343" s="8" t="n"/>
      <c r="G343" s="72">
        <f>IF(A343&lt;&gt;"",TEXT(A343,"YYYY-MM"),"")</f>
        <v/>
      </c>
    </row>
    <row r="344">
      <c r="A344" s="71" t="n"/>
      <c r="B344" s="8" t="n"/>
      <c r="C344" s="8" t="n"/>
      <c r="D344" s="8" t="n"/>
      <c r="E344" s="14" t="n"/>
      <c r="F344" s="8" t="n"/>
      <c r="G344" s="72">
        <f>IF(A344&lt;&gt;"",TEXT(A344,"YYYY-MM"),"")</f>
        <v/>
      </c>
    </row>
    <row r="345">
      <c r="A345" s="71" t="n"/>
      <c r="B345" s="8" t="n"/>
      <c r="C345" s="8" t="n"/>
      <c r="D345" s="8" t="n"/>
      <c r="E345" s="14" t="n"/>
      <c r="F345" s="8" t="n"/>
      <c r="G345" s="72">
        <f>IF(A345&lt;&gt;"",TEXT(A345,"YYYY-MM"),"")</f>
        <v/>
      </c>
    </row>
    <row r="346">
      <c r="A346" s="71" t="n"/>
      <c r="B346" s="8" t="n"/>
      <c r="C346" s="8" t="n"/>
      <c r="D346" s="8" t="n"/>
      <c r="E346" s="14" t="n"/>
      <c r="F346" s="8" t="n"/>
      <c r="G346" s="72">
        <f>IF(A346&lt;&gt;"",TEXT(A346,"YYYY-MM"),"")</f>
        <v/>
      </c>
    </row>
    <row r="347">
      <c r="A347" s="71" t="n"/>
      <c r="B347" s="8" t="n"/>
      <c r="C347" s="8" t="n"/>
      <c r="D347" s="8" t="n"/>
      <c r="E347" s="14" t="n"/>
      <c r="F347" s="8" t="n"/>
      <c r="G347" s="72">
        <f>IF(A347&lt;&gt;"",TEXT(A347,"YYYY-MM"),"")</f>
        <v/>
      </c>
    </row>
    <row r="348">
      <c r="A348" s="71" t="n"/>
      <c r="B348" s="8" t="n"/>
      <c r="C348" s="8" t="n"/>
      <c r="D348" s="8" t="n"/>
      <c r="E348" s="14" t="n"/>
      <c r="F348" s="8" t="n"/>
      <c r="G348" s="72">
        <f>IF(A348&lt;&gt;"",TEXT(A348,"YYYY-MM"),"")</f>
        <v/>
      </c>
    </row>
    <row r="349">
      <c r="A349" s="71" t="n"/>
      <c r="B349" s="8" t="n"/>
      <c r="C349" s="8" t="n"/>
      <c r="D349" s="8" t="n"/>
      <c r="E349" s="14" t="n"/>
      <c r="F349" s="8" t="n"/>
      <c r="G349" s="72">
        <f>IF(A349&lt;&gt;"",TEXT(A349,"YYYY-MM"),"")</f>
        <v/>
      </c>
    </row>
    <row r="350">
      <c r="A350" s="71" t="n"/>
      <c r="B350" s="8" t="n"/>
      <c r="C350" s="8" t="n"/>
      <c r="D350" s="8" t="n"/>
      <c r="E350" s="14" t="n"/>
      <c r="F350" s="8" t="n"/>
      <c r="G350" s="72">
        <f>IF(A350&lt;&gt;"",TEXT(A350,"YYYY-MM"),"")</f>
        <v/>
      </c>
    </row>
    <row r="351">
      <c r="A351" s="71" t="n"/>
      <c r="B351" s="8" t="n"/>
      <c r="C351" s="8" t="n"/>
      <c r="D351" s="8" t="n"/>
      <c r="E351" s="14" t="n"/>
      <c r="F351" s="8" t="n"/>
      <c r="G351" s="72">
        <f>IF(A351&lt;&gt;"",TEXT(A351,"YYYY-MM"),"")</f>
        <v/>
      </c>
    </row>
    <row r="352">
      <c r="A352" s="71" t="n"/>
      <c r="B352" s="8" t="n"/>
      <c r="C352" s="8" t="n"/>
      <c r="D352" s="8" t="n"/>
      <c r="E352" s="14" t="n"/>
      <c r="F352" s="8" t="n"/>
      <c r="G352" s="72">
        <f>IF(A352&lt;&gt;"",TEXT(A352,"YYYY-MM"),"")</f>
        <v/>
      </c>
    </row>
    <row r="353">
      <c r="A353" s="71" t="n"/>
      <c r="B353" s="8" t="n"/>
      <c r="C353" s="8" t="n"/>
      <c r="D353" s="8" t="n"/>
      <c r="E353" s="14" t="n"/>
      <c r="F353" s="8" t="n"/>
      <c r="G353" s="72">
        <f>IF(A353&lt;&gt;"",TEXT(A353,"YYYY-MM"),"")</f>
        <v/>
      </c>
    </row>
    <row r="354">
      <c r="A354" s="71" t="n"/>
      <c r="B354" s="8" t="n"/>
      <c r="C354" s="8" t="n"/>
      <c r="D354" s="8" t="n"/>
      <c r="E354" s="14" t="n"/>
      <c r="F354" s="8" t="n"/>
      <c r="G354" s="72">
        <f>IF(A354&lt;&gt;"",TEXT(A354,"YYYY-MM"),"")</f>
        <v/>
      </c>
    </row>
    <row r="355">
      <c r="A355" s="71" t="n"/>
      <c r="B355" s="8" t="n"/>
      <c r="C355" s="8" t="n"/>
      <c r="D355" s="8" t="n"/>
      <c r="E355" s="14" t="n"/>
      <c r="F355" s="8" t="n"/>
      <c r="G355" s="72">
        <f>IF(A355&lt;&gt;"",TEXT(A355,"YYYY-MM"),"")</f>
        <v/>
      </c>
    </row>
    <row r="356">
      <c r="A356" s="71" t="n"/>
      <c r="B356" s="8" t="n"/>
      <c r="C356" s="8" t="n"/>
      <c r="D356" s="8" t="n"/>
      <c r="E356" s="14" t="n"/>
      <c r="F356" s="8" t="n"/>
      <c r="G356" s="72">
        <f>IF(A356&lt;&gt;"",TEXT(A356,"YYYY-MM"),"")</f>
        <v/>
      </c>
    </row>
    <row r="357">
      <c r="A357" s="71" t="n"/>
      <c r="B357" s="8" t="n"/>
      <c r="C357" s="8" t="n"/>
      <c r="D357" s="8" t="n"/>
      <c r="E357" s="14" t="n"/>
      <c r="F357" s="8" t="n"/>
      <c r="G357" s="72">
        <f>IF(A357&lt;&gt;"",TEXT(A357,"YYYY-MM"),"")</f>
        <v/>
      </c>
    </row>
    <row r="358">
      <c r="A358" s="71" t="n"/>
      <c r="B358" s="8" t="n"/>
      <c r="C358" s="8" t="n"/>
      <c r="D358" s="8" t="n"/>
      <c r="E358" s="14" t="n"/>
      <c r="F358" s="8" t="n"/>
      <c r="G358" s="72">
        <f>IF(A358&lt;&gt;"",TEXT(A358,"YYYY-MM"),"")</f>
        <v/>
      </c>
    </row>
    <row r="359">
      <c r="A359" s="71" t="n"/>
      <c r="B359" s="8" t="n"/>
      <c r="C359" s="8" t="n"/>
      <c r="D359" s="8" t="n"/>
      <c r="E359" s="14" t="n"/>
      <c r="F359" s="8" t="n"/>
      <c r="G359" s="72">
        <f>IF(A359&lt;&gt;"",TEXT(A359,"YYYY-MM"),"")</f>
        <v/>
      </c>
    </row>
    <row r="360">
      <c r="A360" s="71" t="n"/>
      <c r="B360" s="8" t="n"/>
      <c r="C360" s="8" t="n"/>
      <c r="D360" s="8" t="n"/>
      <c r="E360" s="14" t="n"/>
      <c r="F360" s="8" t="n"/>
      <c r="G360" s="72">
        <f>IF(A360&lt;&gt;"",TEXT(A360,"YYYY-MM"),"")</f>
        <v/>
      </c>
    </row>
    <row r="361">
      <c r="A361" s="71" t="n"/>
      <c r="B361" s="8" t="n"/>
      <c r="C361" s="8" t="n"/>
      <c r="D361" s="8" t="n"/>
      <c r="E361" s="14" t="n"/>
      <c r="F361" s="8" t="n"/>
      <c r="G361" s="72">
        <f>IF(A361&lt;&gt;"",TEXT(A361,"YYYY-MM"),"")</f>
        <v/>
      </c>
    </row>
    <row r="362">
      <c r="A362" s="71" t="n"/>
      <c r="B362" s="8" t="n"/>
      <c r="C362" s="8" t="n"/>
      <c r="D362" s="8" t="n"/>
      <c r="E362" s="14" t="n"/>
      <c r="F362" s="8" t="n"/>
      <c r="G362" s="72">
        <f>IF(A362&lt;&gt;"",TEXT(A362,"YYYY-MM"),"")</f>
        <v/>
      </c>
    </row>
    <row r="363">
      <c r="A363" s="71" t="n"/>
      <c r="B363" s="8" t="n"/>
      <c r="C363" s="8" t="n"/>
      <c r="D363" s="8" t="n"/>
      <c r="E363" s="14" t="n"/>
      <c r="F363" s="8" t="n"/>
      <c r="G363" s="72">
        <f>IF(A363&lt;&gt;"",TEXT(A363,"YYYY-MM"),"")</f>
        <v/>
      </c>
    </row>
    <row r="364">
      <c r="A364" s="71" t="n"/>
      <c r="B364" s="8" t="n"/>
      <c r="C364" s="8" t="n"/>
      <c r="D364" s="8" t="n"/>
      <c r="E364" s="14" t="n"/>
      <c r="F364" s="8" t="n"/>
      <c r="G364" s="72">
        <f>IF(A364&lt;&gt;"",TEXT(A364,"YYYY-MM"),"")</f>
        <v/>
      </c>
    </row>
    <row r="365">
      <c r="A365" s="71" t="n"/>
      <c r="B365" s="8" t="n"/>
      <c r="C365" s="8" t="n"/>
      <c r="D365" s="8" t="n"/>
      <c r="E365" s="14" t="n"/>
      <c r="F365" s="8" t="n"/>
      <c r="G365" s="72">
        <f>IF(A365&lt;&gt;"",TEXT(A365,"YYYY-MM"),"")</f>
        <v/>
      </c>
    </row>
    <row r="366">
      <c r="A366" s="71" t="n"/>
      <c r="B366" s="8" t="n"/>
      <c r="C366" s="8" t="n"/>
      <c r="D366" s="8" t="n"/>
      <c r="E366" s="14" t="n"/>
      <c r="F366" s="8" t="n"/>
      <c r="G366" s="72">
        <f>IF(A366&lt;&gt;"",TEXT(A366,"YYYY-MM"),"")</f>
        <v/>
      </c>
    </row>
    <row r="367">
      <c r="A367" s="71" t="n"/>
      <c r="B367" s="8" t="n"/>
      <c r="C367" s="8" t="n"/>
      <c r="D367" s="8" t="n"/>
      <c r="E367" s="14" t="n"/>
      <c r="F367" s="8" t="n"/>
      <c r="G367" s="72">
        <f>IF(A367&lt;&gt;"",TEXT(A367,"YYYY-MM"),"")</f>
        <v/>
      </c>
    </row>
    <row r="368">
      <c r="A368" s="71" t="n"/>
      <c r="B368" s="8" t="n"/>
      <c r="C368" s="8" t="n"/>
      <c r="D368" s="8" t="n"/>
      <c r="E368" s="14" t="n"/>
      <c r="F368" s="8" t="n"/>
      <c r="G368" s="72">
        <f>IF(A368&lt;&gt;"",TEXT(A368,"YYYY-MM"),"")</f>
        <v/>
      </c>
    </row>
    <row r="369">
      <c r="A369" s="71" t="n"/>
      <c r="B369" s="8" t="n"/>
      <c r="C369" s="8" t="n"/>
      <c r="D369" s="8" t="n"/>
      <c r="E369" s="14" t="n"/>
      <c r="F369" s="8" t="n"/>
      <c r="G369" s="72">
        <f>IF(A369&lt;&gt;"",TEXT(A369,"YYYY-MM"),"")</f>
        <v/>
      </c>
    </row>
    <row r="370">
      <c r="A370" s="71" t="n"/>
      <c r="B370" s="8" t="n"/>
      <c r="C370" s="8" t="n"/>
      <c r="D370" s="8" t="n"/>
      <c r="E370" s="14" t="n"/>
      <c r="F370" s="8" t="n"/>
      <c r="G370" s="72">
        <f>IF(A370&lt;&gt;"",TEXT(A370,"YYYY-MM"),"")</f>
        <v/>
      </c>
    </row>
    <row r="371">
      <c r="A371" s="71" t="n"/>
      <c r="B371" s="8" t="n"/>
      <c r="C371" s="8" t="n"/>
      <c r="D371" s="8" t="n"/>
      <c r="E371" s="14" t="n"/>
      <c r="F371" s="8" t="n"/>
      <c r="G371" s="72">
        <f>IF(A371&lt;&gt;"",TEXT(A371,"YYYY-MM"),"")</f>
        <v/>
      </c>
    </row>
    <row r="372">
      <c r="A372" s="71" t="n"/>
      <c r="B372" s="8" t="n"/>
      <c r="C372" s="8" t="n"/>
      <c r="D372" s="8" t="n"/>
      <c r="E372" s="14" t="n"/>
      <c r="F372" s="8" t="n"/>
      <c r="G372" s="72">
        <f>IF(A372&lt;&gt;"",TEXT(A372,"YYYY-MM"),"")</f>
        <v/>
      </c>
    </row>
    <row r="373">
      <c r="A373" s="71" t="n"/>
      <c r="B373" s="8" t="n"/>
      <c r="C373" s="8" t="n"/>
      <c r="D373" s="8" t="n"/>
      <c r="E373" s="14" t="n"/>
      <c r="F373" s="8" t="n"/>
      <c r="G373" s="72">
        <f>IF(A373&lt;&gt;"",TEXT(A373,"YYYY-MM"),"")</f>
        <v/>
      </c>
    </row>
    <row r="374">
      <c r="A374" s="71" t="n"/>
      <c r="B374" s="8" t="n"/>
      <c r="C374" s="8" t="n"/>
      <c r="D374" s="8" t="n"/>
      <c r="E374" s="14" t="n"/>
      <c r="F374" s="8" t="n"/>
      <c r="G374" s="72">
        <f>IF(A374&lt;&gt;"",TEXT(A374,"YYYY-MM"),"")</f>
        <v/>
      </c>
    </row>
    <row r="375">
      <c r="A375" s="71" t="n"/>
      <c r="B375" s="8" t="n"/>
      <c r="C375" s="8" t="n"/>
      <c r="D375" s="8" t="n"/>
      <c r="E375" s="14" t="n"/>
      <c r="F375" s="8" t="n"/>
      <c r="G375" s="72">
        <f>IF(A375&lt;&gt;"",TEXT(A375,"YYYY-MM"),"")</f>
        <v/>
      </c>
    </row>
    <row r="376">
      <c r="A376" s="71" t="n"/>
      <c r="B376" s="8" t="n"/>
      <c r="C376" s="8" t="n"/>
      <c r="D376" s="8" t="n"/>
      <c r="E376" s="14" t="n"/>
      <c r="F376" s="8" t="n"/>
      <c r="G376" s="72">
        <f>IF(A376&lt;&gt;"",TEXT(A376,"YYYY-MM"),"")</f>
        <v/>
      </c>
    </row>
    <row r="377">
      <c r="A377" s="71" t="n"/>
      <c r="B377" s="8" t="n"/>
      <c r="C377" s="8" t="n"/>
      <c r="D377" s="8" t="n"/>
      <c r="E377" s="14" t="n"/>
      <c r="F377" s="8" t="n"/>
      <c r="G377" s="72">
        <f>IF(A377&lt;&gt;"",TEXT(A377,"YYYY-MM"),"")</f>
        <v/>
      </c>
    </row>
    <row r="378">
      <c r="A378" s="71" t="n"/>
      <c r="B378" s="8" t="n"/>
      <c r="C378" s="8" t="n"/>
      <c r="D378" s="8" t="n"/>
      <c r="E378" s="14" t="n"/>
      <c r="F378" s="8" t="n"/>
      <c r="G378" s="72">
        <f>IF(A378&lt;&gt;"",TEXT(A378,"YYYY-MM"),"")</f>
        <v/>
      </c>
    </row>
    <row r="379">
      <c r="A379" s="71" t="n"/>
      <c r="B379" s="8" t="n"/>
      <c r="C379" s="8" t="n"/>
      <c r="D379" s="8" t="n"/>
      <c r="E379" s="14" t="n"/>
      <c r="F379" s="8" t="n"/>
      <c r="G379" s="72">
        <f>IF(A379&lt;&gt;"",TEXT(A379,"YYYY-MM"),"")</f>
        <v/>
      </c>
    </row>
    <row r="380">
      <c r="A380" s="71" t="n"/>
      <c r="B380" s="8" t="n"/>
      <c r="C380" s="8" t="n"/>
      <c r="D380" s="8" t="n"/>
      <c r="E380" s="14" t="n"/>
      <c r="F380" s="8" t="n"/>
      <c r="G380" s="72">
        <f>IF(A380&lt;&gt;"",TEXT(A380,"YYYY-MM"),"")</f>
        <v/>
      </c>
    </row>
    <row r="381">
      <c r="A381" s="71" t="n"/>
      <c r="B381" s="8" t="n"/>
      <c r="C381" s="8" t="n"/>
      <c r="D381" s="8" t="n"/>
      <c r="E381" s="14" t="n"/>
      <c r="F381" s="8" t="n"/>
      <c r="G381" s="72">
        <f>IF(A381&lt;&gt;"",TEXT(A381,"YYYY-MM"),"")</f>
        <v/>
      </c>
    </row>
    <row r="382">
      <c r="A382" s="71" t="n"/>
      <c r="B382" s="8" t="n"/>
      <c r="C382" s="8" t="n"/>
      <c r="D382" s="8" t="n"/>
      <c r="E382" s="14" t="n"/>
      <c r="F382" s="8" t="n"/>
      <c r="G382" s="72">
        <f>IF(A382&lt;&gt;"",TEXT(A382,"YYYY-MM"),"")</f>
        <v/>
      </c>
    </row>
    <row r="383">
      <c r="A383" s="71" t="n"/>
      <c r="B383" s="8" t="n"/>
      <c r="C383" s="8" t="n"/>
      <c r="D383" s="8" t="n"/>
      <c r="E383" s="14" t="n"/>
      <c r="F383" s="8" t="n"/>
      <c r="G383" s="72">
        <f>IF(A383&lt;&gt;"",TEXT(A383,"YYYY-MM"),"")</f>
        <v/>
      </c>
    </row>
    <row r="384">
      <c r="A384" s="71" t="n"/>
      <c r="B384" s="8" t="n"/>
      <c r="C384" s="8" t="n"/>
      <c r="D384" s="8" t="n"/>
      <c r="E384" s="14" t="n"/>
      <c r="F384" s="8" t="n"/>
      <c r="G384" s="72">
        <f>IF(A384&lt;&gt;"",TEXT(A384,"YYYY-MM"),"")</f>
        <v/>
      </c>
    </row>
    <row r="385">
      <c r="A385" s="71" t="n"/>
      <c r="B385" s="8" t="n"/>
      <c r="C385" s="8" t="n"/>
      <c r="D385" s="8" t="n"/>
      <c r="E385" s="14" t="n"/>
      <c r="F385" s="8" t="n"/>
      <c r="G385" s="72">
        <f>IF(A385&lt;&gt;"",TEXT(A385,"YYYY-MM"),"")</f>
        <v/>
      </c>
    </row>
    <row r="386">
      <c r="A386" s="71" t="n"/>
      <c r="B386" s="8" t="n"/>
      <c r="C386" s="8" t="n"/>
      <c r="D386" s="8" t="n"/>
      <c r="E386" s="14" t="n"/>
      <c r="F386" s="8" t="n"/>
      <c r="G386" s="72">
        <f>IF(A386&lt;&gt;"",TEXT(A386,"YYYY-MM"),"")</f>
        <v/>
      </c>
    </row>
    <row r="387">
      <c r="A387" s="71" t="n"/>
      <c r="B387" s="8" t="n"/>
      <c r="C387" s="8" t="n"/>
      <c r="D387" s="8" t="n"/>
      <c r="E387" s="14" t="n"/>
      <c r="F387" s="8" t="n"/>
      <c r="G387" s="72">
        <f>IF(A387&lt;&gt;"",TEXT(A387,"YYYY-MM"),"")</f>
        <v/>
      </c>
    </row>
    <row r="388">
      <c r="A388" s="71" t="n"/>
      <c r="B388" s="8" t="n"/>
      <c r="C388" s="8" t="n"/>
      <c r="D388" s="8" t="n"/>
      <c r="E388" s="14" t="n"/>
      <c r="F388" s="8" t="n"/>
      <c r="G388" s="72">
        <f>IF(A388&lt;&gt;"",TEXT(A388,"YYYY-MM"),"")</f>
        <v/>
      </c>
    </row>
    <row r="389">
      <c r="A389" s="71" t="n"/>
      <c r="B389" s="8" t="n"/>
      <c r="C389" s="8" t="n"/>
      <c r="D389" s="8" t="n"/>
      <c r="E389" s="14" t="n"/>
      <c r="F389" s="8" t="n"/>
      <c r="G389" s="72">
        <f>IF(A389&lt;&gt;"",TEXT(A389,"YYYY-MM"),"")</f>
        <v/>
      </c>
    </row>
    <row r="390">
      <c r="A390" s="71" t="n"/>
      <c r="B390" s="8" t="n"/>
      <c r="C390" s="8" t="n"/>
      <c r="D390" s="8" t="n"/>
      <c r="E390" s="14" t="n"/>
      <c r="F390" s="8" t="n"/>
      <c r="G390" s="72">
        <f>IF(A390&lt;&gt;"",TEXT(A390,"YYYY-MM"),"")</f>
        <v/>
      </c>
    </row>
    <row r="391">
      <c r="A391" s="71" t="n"/>
      <c r="B391" s="8" t="n"/>
      <c r="C391" s="8" t="n"/>
      <c r="D391" s="8" t="n"/>
      <c r="E391" s="14" t="n"/>
      <c r="F391" s="8" t="n"/>
      <c r="G391" s="72">
        <f>IF(A391&lt;&gt;"",TEXT(A391,"YYYY-MM"),"")</f>
        <v/>
      </c>
    </row>
    <row r="392">
      <c r="A392" s="71" t="n"/>
      <c r="B392" s="8" t="n"/>
      <c r="C392" s="8" t="n"/>
      <c r="D392" s="8" t="n"/>
      <c r="E392" s="14" t="n"/>
      <c r="F392" s="8" t="n"/>
      <c r="G392" s="72">
        <f>IF(A392&lt;&gt;"",TEXT(A392,"YYYY-MM"),"")</f>
        <v/>
      </c>
    </row>
    <row r="393">
      <c r="A393" s="71" t="n"/>
      <c r="B393" s="8" t="n"/>
      <c r="C393" s="8" t="n"/>
      <c r="D393" s="8" t="n"/>
      <c r="E393" s="14" t="n"/>
      <c r="F393" s="8" t="n"/>
      <c r="G393" s="72">
        <f>IF(A393&lt;&gt;"",TEXT(A393,"YYYY-MM"),"")</f>
        <v/>
      </c>
    </row>
    <row r="394">
      <c r="A394" s="71" t="n"/>
      <c r="B394" s="8" t="n"/>
      <c r="C394" s="8" t="n"/>
      <c r="D394" s="8" t="n"/>
      <c r="E394" s="14" t="n"/>
      <c r="F394" s="8" t="n"/>
      <c r="G394" s="72">
        <f>IF(A394&lt;&gt;"",TEXT(A394,"YYYY-MM"),"")</f>
        <v/>
      </c>
    </row>
    <row r="395">
      <c r="A395" s="71" t="n"/>
      <c r="B395" s="8" t="n"/>
      <c r="C395" s="8" t="n"/>
      <c r="D395" s="8" t="n"/>
      <c r="E395" s="14" t="n"/>
      <c r="F395" s="8" t="n"/>
      <c r="G395" s="72">
        <f>IF(A395&lt;&gt;"",TEXT(A395,"YYYY-MM"),"")</f>
        <v/>
      </c>
    </row>
    <row r="396">
      <c r="A396" s="71" t="n"/>
      <c r="B396" s="8" t="n"/>
      <c r="C396" s="8" t="n"/>
      <c r="D396" s="8" t="n"/>
      <c r="E396" s="14" t="n"/>
      <c r="F396" s="8" t="n"/>
      <c r="G396" s="72">
        <f>IF(A396&lt;&gt;"",TEXT(A396,"YYYY-MM"),"")</f>
        <v/>
      </c>
    </row>
    <row r="397">
      <c r="A397" s="71" t="n"/>
      <c r="B397" s="8" t="n"/>
      <c r="C397" s="8" t="n"/>
      <c r="D397" s="8" t="n"/>
      <c r="E397" s="14" t="n"/>
      <c r="F397" s="8" t="n"/>
      <c r="G397" s="72">
        <f>IF(A397&lt;&gt;"",TEXT(A397,"YYYY-MM"),"")</f>
        <v/>
      </c>
    </row>
    <row r="398">
      <c r="A398" s="71" t="n"/>
      <c r="B398" s="8" t="n"/>
      <c r="C398" s="8" t="n"/>
      <c r="D398" s="8" t="n"/>
      <c r="E398" s="14" t="n"/>
      <c r="F398" s="8" t="n"/>
      <c r="G398" s="72">
        <f>IF(A398&lt;&gt;"",TEXT(A398,"YYYY-MM"),"")</f>
        <v/>
      </c>
    </row>
    <row r="399">
      <c r="A399" s="71" t="n"/>
      <c r="B399" s="8" t="n"/>
      <c r="C399" s="8" t="n"/>
      <c r="D399" s="8" t="n"/>
      <c r="E399" s="14" t="n"/>
      <c r="F399" s="8" t="n"/>
      <c r="G399" s="72">
        <f>IF(A399&lt;&gt;"",TEXT(A399,"YYYY-MM"),"")</f>
        <v/>
      </c>
    </row>
    <row r="400">
      <c r="A400" s="71" t="n"/>
      <c r="B400" s="8" t="n"/>
      <c r="C400" s="8" t="n"/>
      <c r="D400" s="8" t="n"/>
      <c r="E400" s="14" t="n"/>
      <c r="F400" s="8" t="n"/>
      <c r="G400" s="72">
        <f>IF(A400&lt;&gt;"",TEXT(A400,"YYYY-MM"),"")</f>
        <v/>
      </c>
    </row>
    <row r="401">
      <c r="A401" s="71" t="n"/>
      <c r="B401" s="8" t="n"/>
      <c r="C401" s="8" t="n"/>
      <c r="D401" s="8" t="n"/>
      <c r="E401" s="14" t="n"/>
      <c r="F401" s="8" t="n"/>
      <c r="G401" s="72">
        <f>IF(A401&lt;&gt;"",TEXT(A401,"YYYY-MM"),"")</f>
        <v/>
      </c>
    </row>
    <row r="402">
      <c r="A402" s="71" t="n"/>
      <c r="B402" s="8" t="n"/>
      <c r="C402" s="8" t="n"/>
      <c r="D402" s="8" t="n"/>
      <c r="E402" s="14" t="n"/>
      <c r="F402" s="8" t="n"/>
      <c r="G402" s="72">
        <f>IF(A402&lt;&gt;"",TEXT(A402,"YYYY-MM"),"")</f>
        <v/>
      </c>
    </row>
    <row r="403">
      <c r="A403" s="71" t="n"/>
      <c r="B403" s="8" t="n"/>
      <c r="C403" s="8" t="n"/>
      <c r="D403" s="8" t="n"/>
      <c r="E403" s="14" t="n"/>
      <c r="F403" s="8" t="n"/>
      <c r="G403" s="72">
        <f>IF(A403&lt;&gt;"",TEXT(A403,"YYYY-MM"),"")</f>
        <v/>
      </c>
    </row>
    <row r="404">
      <c r="A404" s="71" t="n"/>
      <c r="B404" s="8" t="n"/>
      <c r="C404" s="8" t="n"/>
      <c r="D404" s="8" t="n"/>
      <c r="E404" s="14" t="n"/>
      <c r="F404" s="8" t="n"/>
      <c r="G404" s="72">
        <f>IF(A404&lt;&gt;"",TEXT(A404,"YYYY-MM"),"")</f>
        <v/>
      </c>
    </row>
    <row r="405">
      <c r="A405" s="71" t="n"/>
      <c r="B405" s="8" t="n"/>
      <c r="C405" s="8" t="n"/>
      <c r="D405" s="8" t="n"/>
      <c r="E405" s="14" t="n"/>
      <c r="F405" s="8" t="n"/>
      <c r="G405" s="72">
        <f>IF(A405&lt;&gt;"",TEXT(A405,"YYYY-MM"),"")</f>
        <v/>
      </c>
    </row>
    <row r="406">
      <c r="A406" s="71" t="n"/>
      <c r="B406" s="8" t="n"/>
      <c r="C406" s="8" t="n"/>
      <c r="D406" s="8" t="n"/>
      <c r="E406" s="14" t="n"/>
      <c r="F406" s="8" t="n"/>
      <c r="G406" s="72">
        <f>IF(A406&lt;&gt;"",TEXT(A406,"YYYY-MM"),"")</f>
        <v/>
      </c>
    </row>
    <row r="407">
      <c r="A407" s="71" t="n"/>
      <c r="B407" s="8" t="n"/>
      <c r="C407" s="8" t="n"/>
      <c r="D407" s="8" t="n"/>
      <c r="E407" s="14" t="n"/>
      <c r="F407" s="8" t="n"/>
      <c r="G407" s="72">
        <f>IF(A407&lt;&gt;"",TEXT(A407,"YYYY-MM"),"")</f>
        <v/>
      </c>
    </row>
    <row r="408">
      <c r="A408" s="71" t="n"/>
      <c r="B408" s="8" t="n"/>
      <c r="C408" s="8" t="n"/>
      <c r="D408" s="8" t="n"/>
      <c r="E408" s="14" t="n"/>
      <c r="F408" s="8" t="n"/>
      <c r="G408" s="72">
        <f>IF(A408&lt;&gt;"",TEXT(A408,"YYYY-MM"),"")</f>
        <v/>
      </c>
    </row>
    <row r="409">
      <c r="A409" s="71" t="n"/>
      <c r="B409" s="8" t="n"/>
      <c r="C409" s="8" t="n"/>
      <c r="D409" s="8" t="n"/>
      <c r="E409" s="14" t="n"/>
      <c r="F409" s="8" t="n"/>
      <c r="G409" s="72">
        <f>IF(A409&lt;&gt;"",TEXT(A409,"YYYY-MM"),"")</f>
        <v/>
      </c>
    </row>
    <row r="410">
      <c r="A410" s="71" t="n"/>
      <c r="B410" s="8" t="n"/>
      <c r="C410" s="8" t="n"/>
      <c r="D410" s="8" t="n"/>
      <c r="E410" s="14" t="n"/>
      <c r="F410" s="8" t="n"/>
      <c r="G410" s="72">
        <f>IF(A410&lt;&gt;"",TEXT(A410,"YYYY-MM"),"")</f>
        <v/>
      </c>
    </row>
    <row r="411">
      <c r="A411" s="71" t="n"/>
      <c r="B411" s="8" t="n"/>
      <c r="C411" s="8" t="n"/>
      <c r="D411" s="8" t="n"/>
      <c r="E411" s="14" t="n"/>
      <c r="F411" s="8" t="n"/>
      <c r="G411" s="72">
        <f>IF(A411&lt;&gt;"",TEXT(A411,"YYYY-MM"),"")</f>
        <v/>
      </c>
    </row>
    <row r="412">
      <c r="A412" s="71" t="n"/>
      <c r="B412" s="8" t="n"/>
      <c r="C412" s="8" t="n"/>
      <c r="D412" s="8" t="n"/>
      <c r="E412" s="14" t="n"/>
      <c r="F412" s="8" t="n"/>
      <c r="G412" s="72">
        <f>IF(A412&lt;&gt;"",TEXT(A412,"YYYY-MM"),"")</f>
        <v/>
      </c>
    </row>
    <row r="413">
      <c r="A413" s="71" t="n"/>
      <c r="B413" s="8" t="n"/>
      <c r="C413" s="8" t="n"/>
      <c r="D413" s="8" t="n"/>
      <c r="E413" s="14" t="n"/>
      <c r="F413" s="8" t="n"/>
      <c r="G413" s="72">
        <f>IF(A413&lt;&gt;"",TEXT(A413,"YYYY-MM"),"")</f>
        <v/>
      </c>
    </row>
    <row r="414">
      <c r="A414" s="71" t="n"/>
      <c r="B414" s="8" t="n"/>
      <c r="C414" s="8" t="n"/>
      <c r="D414" s="8" t="n"/>
      <c r="E414" s="14" t="n"/>
      <c r="F414" s="8" t="n"/>
      <c r="G414" s="72">
        <f>IF(A414&lt;&gt;"",TEXT(A414,"YYYY-MM"),"")</f>
        <v/>
      </c>
    </row>
    <row r="415">
      <c r="A415" s="71" t="n"/>
      <c r="B415" s="8" t="n"/>
      <c r="C415" s="8" t="n"/>
      <c r="D415" s="8" t="n"/>
      <c r="E415" s="14" t="n"/>
      <c r="F415" s="8" t="n"/>
      <c r="G415" s="72">
        <f>IF(A415&lt;&gt;"",TEXT(A415,"YYYY-MM"),"")</f>
        <v/>
      </c>
    </row>
    <row r="416">
      <c r="A416" s="71" t="n"/>
      <c r="B416" s="8" t="n"/>
      <c r="C416" s="8" t="n"/>
      <c r="D416" s="8" t="n"/>
      <c r="E416" s="14" t="n"/>
      <c r="F416" s="8" t="n"/>
      <c r="G416" s="72">
        <f>IF(A416&lt;&gt;"",TEXT(A416,"YYYY-MM"),"")</f>
        <v/>
      </c>
    </row>
    <row r="417">
      <c r="A417" s="71" t="n"/>
      <c r="B417" s="8" t="n"/>
      <c r="C417" s="8" t="n"/>
      <c r="D417" s="8" t="n"/>
      <c r="E417" s="14" t="n"/>
      <c r="F417" s="8" t="n"/>
      <c r="G417" s="72">
        <f>IF(A417&lt;&gt;"",TEXT(A417,"YYYY-MM"),"")</f>
        <v/>
      </c>
    </row>
    <row r="418">
      <c r="A418" s="71" t="n"/>
      <c r="B418" s="8" t="n"/>
      <c r="C418" s="8" t="n"/>
      <c r="D418" s="8" t="n"/>
      <c r="E418" s="14" t="n"/>
      <c r="F418" s="8" t="n"/>
      <c r="G418" s="72">
        <f>IF(A418&lt;&gt;"",TEXT(A418,"YYYY-MM"),"")</f>
        <v/>
      </c>
    </row>
    <row r="419">
      <c r="A419" s="71" t="n"/>
      <c r="B419" s="8" t="n"/>
      <c r="C419" s="8" t="n"/>
      <c r="D419" s="8" t="n"/>
      <c r="E419" s="14" t="n"/>
      <c r="F419" s="8" t="n"/>
      <c r="G419" s="72">
        <f>IF(A419&lt;&gt;"",TEXT(A419,"YYYY-MM"),"")</f>
        <v/>
      </c>
    </row>
    <row r="420">
      <c r="A420" s="71" t="n"/>
      <c r="B420" s="8" t="n"/>
      <c r="C420" s="8" t="n"/>
      <c r="D420" s="8" t="n"/>
      <c r="E420" s="14" t="n"/>
      <c r="F420" s="8" t="n"/>
      <c r="G420" s="72">
        <f>IF(A420&lt;&gt;"",TEXT(A420,"YYYY-MM"),"")</f>
        <v/>
      </c>
    </row>
    <row r="421">
      <c r="A421" s="71" t="n"/>
      <c r="B421" s="8" t="n"/>
      <c r="C421" s="8" t="n"/>
      <c r="D421" s="8" t="n"/>
      <c r="E421" s="14" t="n"/>
      <c r="F421" s="8" t="n"/>
      <c r="G421" s="72">
        <f>IF(A421&lt;&gt;"",TEXT(A421,"YYYY-MM"),"")</f>
        <v/>
      </c>
    </row>
    <row r="422">
      <c r="A422" s="71" t="n"/>
      <c r="B422" s="8" t="n"/>
      <c r="C422" s="8" t="n"/>
      <c r="D422" s="8" t="n"/>
      <c r="E422" s="14" t="n"/>
      <c r="F422" s="8" t="n"/>
      <c r="G422" s="72">
        <f>IF(A422&lt;&gt;"",TEXT(A422,"YYYY-MM"),"")</f>
        <v/>
      </c>
    </row>
    <row r="423">
      <c r="A423" s="71" t="n"/>
      <c r="B423" s="8" t="n"/>
      <c r="C423" s="8" t="n"/>
      <c r="D423" s="8" t="n"/>
      <c r="E423" s="14" t="n"/>
      <c r="F423" s="8" t="n"/>
      <c r="G423" s="72">
        <f>IF(A423&lt;&gt;"",TEXT(A423,"YYYY-MM"),"")</f>
        <v/>
      </c>
    </row>
    <row r="424">
      <c r="A424" s="71" t="n"/>
      <c r="B424" s="8" t="n"/>
      <c r="C424" s="8" t="n"/>
      <c r="D424" s="8" t="n"/>
      <c r="E424" s="14" t="n"/>
      <c r="F424" s="8" t="n"/>
      <c r="G424" s="72">
        <f>IF(A424&lt;&gt;"",TEXT(A424,"YYYY-MM"),"")</f>
        <v/>
      </c>
    </row>
    <row r="425">
      <c r="A425" s="71" t="n"/>
      <c r="B425" s="8" t="n"/>
      <c r="C425" s="8" t="n"/>
      <c r="D425" s="8" t="n"/>
      <c r="E425" s="14" t="n"/>
      <c r="F425" s="8" t="n"/>
      <c r="G425" s="72">
        <f>IF(A425&lt;&gt;"",TEXT(A425,"YYYY-MM"),"")</f>
        <v/>
      </c>
    </row>
    <row r="426">
      <c r="A426" s="71" t="n"/>
      <c r="B426" s="8" t="n"/>
      <c r="C426" s="8" t="n"/>
      <c r="D426" s="8" t="n"/>
      <c r="E426" s="14" t="n"/>
      <c r="F426" s="8" t="n"/>
      <c r="G426" s="72">
        <f>IF(A426&lt;&gt;"",TEXT(A426,"YYYY-MM"),"")</f>
        <v/>
      </c>
    </row>
    <row r="427">
      <c r="A427" s="71" t="n"/>
      <c r="B427" s="8" t="n"/>
      <c r="C427" s="8" t="n"/>
      <c r="D427" s="8" t="n"/>
      <c r="E427" s="14" t="n"/>
      <c r="F427" s="8" t="n"/>
      <c r="G427" s="72">
        <f>IF(A427&lt;&gt;"",TEXT(A427,"YYYY-MM"),"")</f>
        <v/>
      </c>
    </row>
    <row r="428">
      <c r="A428" s="71" t="n"/>
      <c r="B428" s="8" t="n"/>
      <c r="C428" s="8" t="n"/>
      <c r="D428" s="8" t="n"/>
      <c r="E428" s="14" t="n"/>
      <c r="F428" s="8" t="n"/>
      <c r="G428" s="72">
        <f>IF(A428&lt;&gt;"",TEXT(A428,"YYYY-MM"),"")</f>
        <v/>
      </c>
    </row>
    <row r="429">
      <c r="A429" s="71" t="n"/>
      <c r="B429" s="8" t="n"/>
      <c r="C429" s="8" t="n"/>
      <c r="D429" s="8" t="n"/>
      <c r="E429" s="14" t="n"/>
      <c r="F429" s="8" t="n"/>
      <c r="G429" s="72">
        <f>IF(A429&lt;&gt;"",TEXT(A429,"YYYY-MM"),"")</f>
        <v/>
      </c>
    </row>
    <row r="430">
      <c r="A430" s="71" t="n"/>
      <c r="B430" s="8" t="n"/>
      <c r="C430" s="8" t="n"/>
      <c r="D430" s="8" t="n"/>
      <c r="E430" s="14" t="n"/>
      <c r="F430" s="8" t="n"/>
      <c r="G430" s="72">
        <f>IF(A430&lt;&gt;"",TEXT(A430,"YYYY-MM"),"")</f>
        <v/>
      </c>
    </row>
    <row r="431">
      <c r="A431" s="71" t="n"/>
      <c r="B431" s="8" t="n"/>
      <c r="C431" s="8" t="n"/>
      <c r="D431" s="8" t="n"/>
      <c r="E431" s="14" t="n"/>
      <c r="F431" s="8" t="n"/>
      <c r="G431" s="72">
        <f>IF(A431&lt;&gt;"",TEXT(A431,"YYYY-MM"),"")</f>
        <v/>
      </c>
    </row>
    <row r="432">
      <c r="A432" s="71" t="n"/>
      <c r="B432" s="8" t="n"/>
      <c r="C432" s="8" t="n"/>
      <c r="D432" s="8" t="n"/>
      <c r="E432" s="14" t="n"/>
      <c r="F432" s="8" t="n"/>
      <c r="G432" s="72">
        <f>IF(A432&lt;&gt;"",TEXT(A432,"YYYY-MM"),"")</f>
        <v/>
      </c>
    </row>
    <row r="433">
      <c r="A433" s="71" t="n"/>
      <c r="B433" s="8" t="n"/>
      <c r="C433" s="8" t="n"/>
      <c r="D433" s="8" t="n"/>
      <c r="E433" s="14" t="n"/>
      <c r="F433" s="8" t="n"/>
      <c r="G433" s="72">
        <f>IF(A433&lt;&gt;"",TEXT(A433,"YYYY-MM"),"")</f>
        <v/>
      </c>
    </row>
    <row r="434">
      <c r="A434" s="71" t="n"/>
      <c r="B434" s="8" t="n"/>
      <c r="C434" s="8" t="n"/>
      <c r="D434" s="8" t="n"/>
      <c r="E434" s="14" t="n"/>
      <c r="F434" s="8" t="n"/>
      <c r="G434" s="72">
        <f>IF(A434&lt;&gt;"",TEXT(A434,"YYYY-MM"),"")</f>
        <v/>
      </c>
    </row>
    <row r="435">
      <c r="A435" s="71" t="n"/>
      <c r="B435" s="8" t="n"/>
      <c r="C435" s="8" t="n"/>
      <c r="D435" s="8" t="n"/>
      <c r="E435" s="14" t="n"/>
      <c r="F435" s="8" t="n"/>
      <c r="G435" s="72">
        <f>IF(A435&lt;&gt;"",TEXT(A435,"YYYY-MM"),"")</f>
        <v/>
      </c>
    </row>
    <row r="436">
      <c r="A436" s="71" t="n"/>
      <c r="B436" s="8" t="n"/>
      <c r="C436" s="8" t="n"/>
      <c r="D436" s="8" t="n"/>
      <c r="E436" s="14" t="n"/>
      <c r="F436" s="8" t="n"/>
      <c r="G436" s="72">
        <f>IF(A436&lt;&gt;"",TEXT(A436,"YYYY-MM"),"")</f>
        <v/>
      </c>
    </row>
    <row r="437">
      <c r="A437" s="71" t="n"/>
      <c r="B437" s="8" t="n"/>
      <c r="C437" s="8" t="n"/>
      <c r="D437" s="8" t="n"/>
      <c r="E437" s="14" t="n"/>
      <c r="F437" s="8" t="n"/>
      <c r="G437" s="72">
        <f>IF(A437&lt;&gt;"",TEXT(A437,"YYYY-MM"),"")</f>
        <v/>
      </c>
    </row>
    <row r="438">
      <c r="A438" s="71" t="n"/>
      <c r="B438" s="8" t="n"/>
      <c r="C438" s="8" t="n"/>
      <c r="D438" s="8" t="n"/>
      <c r="E438" s="14" t="n"/>
      <c r="F438" s="8" t="n"/>
      <c r="G438" s="72">
        <f>IF(A438&lt;&gt;"",TEXT(A438,"YYYY-MM"),"")</f>
        <v/>
      </c>
    </row>
    <row r="439">
      <c r="A439" s="71" t="n"/>
      <c r="B439" s="8" t="n"/>
      <c r="C439" s="8" t="n"/>
      <c r="D439" s="8" t="n"/>
      <c r="E439" s="14" t="n"/>
      <c r="F439" s="8" t="n"/>
      <c r="G439" s="72">
        <f>IF(A439&lt;&gt;"",TEXT(A439,"YYYY-MM"),"")</f>
        <v/>
      </c>
    </row>
    <row r="440">
      <c r="A440" s="71" t="n"/>
      <c r="B440" s="8" t="n"/>
      <c r="C440" s="8" t="n"/>
      <c r="D440" s="8" t="n"/>
      <c r="E440" s="14" t="n"/>
      <c r="F440" s="8" t="n"/>
      <c r="G440" s="72">
        <f>IF(A440&lt;&gt;"",TEXT(A440,"YYYY-MM"),"")</f>
        <v/>
      </c>
    </row>
    <row r="441">
      <c r="A441" s="71" t="n"/>
      <c r="B441" s="8" t="n"/>
      <c r="C441" s="8" t="n"/>
      <c r="D441" s="8" t="n"/>
      <c r="E441" s="14" t="n"/>
      <c r="F441" s="8" t="n"/>
      <c r="G441" s="72">
        <f>IF(A441&lt;&gt;"",TEXT(A441,"YYYY-MM"),"")</f>
        <v/>
      </c>
    </row>
    <row r="442">
      <c r="A442" s="71" t="n"/>
      <c r="B442" s="8" t="n"/>
      <c r="C442" s="8" t="n"/>
      <c r="D442" s="8" t="n"/>
      <c r="E442" s="14" t="n"/>
      <c r="F442" s="8" t="n"/>
      <c r="G442" s="72">
        <f>IF(A442&lt;&gt;"",TEXT(A442,"YYYY-MM"),"")</f>
        <v/>
      </c>
    </row>
    <row r="443">
      <c r="A443" s="71" t="n"/>
      <c r="B443" s="8" t="n"/>
      <c r="C443" s="8" t="n"/>
      <c r="D443" s="8" t="n"/>
      <c r="E443" s="14" t="n"/>
      <c r="F443" s="8" t="n"/>
      <c r="G443" s="72">
        <f>IF(A443&lt;&gt;"",TEXT(A443,"YYYY-MM"),"")</f>
        <v/>
      </c>
    </row>
    <row r="444">
      <c r="A444" s="71" t="n"/>
      <c r="B444" s="8" t="n"/>
      <c r="C444" s="8" t="n"/>
      <c r="D444" s="8" t="n"/>
      <c r="E444" s="14" t="n"/>
      <c r="F444" s="8" t="n"/>
      <c r="G444" s="72">
        <f>IF(A444&lt;&gt;"",TEXT(A444,"YYYY-MM"),"")</f>
        <v/>
      </c>
    </row>
    <row r="445">
      <c r="A445" s="71" t="n"/>
      <c r="B445" s="8" t="n"/>
      <c r="C445" s="8" t="n"/>
      <c r="D445" s="8" t="n"/>
      <c r="E445" s="14" t="n"/>
      <c r="F445" s="8" t="n"/>
      <c r="G445" s="72">
        <f>IF(A445&lt;&gt;"",TEXT(A445,"YYYY-MM"),"")</f>
        <v/>
      </c>
    </row>
    <row r="446">
      <c r="A446" s="71" t="n"/>
      <c r="B446" s="8" t="n"/>
      <c r="C446" s="8" t="n"/>
      <c r="D446" s="8" t="n"/>
      <c r="E446" s="14" t="n"/>
      <c r="F446" s="8" t="n"/>
      <c r="G446" s="72">
        <f>IF(A446&lt;&gt;"",TEXT(A446,"YYYY-MM"),"")</f>
        <v/>
      </c>
    </row>
    <row r="447">
      <c r="A447" s="71" t="n"/>
      <c r="B447" s="8" t="n"/>
      <c r="C447" s="8" t="n"/>
      <c r="D447" s="8" t="n"/>
      <c r="E447" s="14" t="n"/>
      <c r="F447" s="8" t="n"/>
      <c r="G447" s="72">
        <f>IF(A447&lt;&gt;"",TEXT(A447,"YYYY-MM"),"")</f>
        <v/>
      </c>
    </row>
    <row r="448">
      <c r="A448" s="71" t="n"/>
      <c r="B448" s="8" t="n"/>
      <c r="C448" s="8" t="n"/>
      <c r="D448" s="8" t="n"/>
      <c r="E448" s="14" t="n"/>
      <c r="F448" s="8" t="n"/>
      <c r="G448" s="72">
        <f>IF(A448&lt;&gt;"",TEXT(A448,"YYYY-MM"),"")</f>
        <v/>
      </c>
    </row>
    <row r="449">
      <c r="A449" s="71" t="n"/>
      <c r="B449" s="8" t="n"/>
      <c r="C449" s="8" t="n"/>
      <c r="D449" s="8" t="n"/>
      <c r="E449" s="14" t="n"/>
      <c r="F449" s="8" t="n"/>
      <c r="G449" s="72">
        <f>IF(A449&lt;&gt;"",TEXT(A449,"YYYY-MM"),"")</f>
        <v/>
      </c>
    </row>
    <row r="450">
      <c r="A450" s="71" t="n"/>
      <c r="B450" s="8" t="n"/>
      <c r="C450" s="8" t="n"/>
      <c r="D450" s="8" t="n"/>
      <c r="E450" s="14" t="n"/>
      <c r="F450" s="8" t="n"/>
      <c r="G450" s="72">
        <f>IF(A450&lt;&gt;"",TEXT(A450,"YYYY-MM"),"")</f>
        <v/>
      </c>
    </row>
    <row r="451">
      <c r="A451" s="71" t="n"/>
      <c r="B451" s="8" t="n"/>
      <c r="C451" s="8" t="n"/>
      <c r="D451" s="8" t="n"/>
      <c r="E451" s="14" t="n"/>
      <c r="F451" s="8" t="n"/>
      <c r="G451" s="72">
        <f>IF(A451&lt;&gt;"",TEXT(A451,"YYYY-MM"),"")</f>
        <v/>
      </c>
    </row>
    <row r="452">
      <c r="A452" s="71" t="n"/>
      <c r="B452" s="8" t="n"/>
      <c r="C452" s="8" t="n"/>
      <c r="D452" s="8" t="n"/>
      <c r="E452" s="14" t="n"/>
      <c r="F452" s="8" t="n"/>
      <c r="G452" s="72">
        <f>IF(A452&lt;&gt;"",TEXT(A452,"YYYY-MM"),"")</f>
        <v/>
      </c>
    </row>
    <row r="453">
      <c r="A453" s="71" t="n"/>
      <c r="B453" s="8" t="n"/>
      <c r="C453" s="8" t="n"/>
      <c r="D453" s="8" t="n"/>
      <c r="E453" s="14" t="n"/>
      <c r="F453" s="8" t="n"/>
      <c r="G453" s="72">
        <f>IF(A453&lt;&gt;"",TEXT(A453,"YYYY-MM"),"")</f>
        <v/>
      </c>
    </row>
    <row r="454">
      <c r="A454" s="71" t="n"/>
      <c r="B454" s="8" t="n"/>
      <c r="C454" s="8" t="n"/>
      <c r="D454" s="8" t="n"/>
      <c r="E454" s="14" t="n"/>
      <c r="F454" s="8" t="n"/>
      <c r="G454" s="72">
        <f>IF(A454&lt;&gt;"",TEXT(A454,"YYYY-MM"),"")</f>
        <v/>
      </c>
    </row>
    <row r="455">
      <c r="A455" s="71" t="n"/>
      <c r="B455" s="8" t="n"/>
      <c r="C455" s="8" t="n"/>
      <c r="D455" s="8" t="n"/>
      <c r="E455" s="14" t="n"/>
      <c r="F455" s="8" t="n"/>
      <c r="G455" s="72">
        <f>IF(A455&lt;&gt;"",TEXT(A455,"YYYY-MM"),"")</f>
        <v/>
      </c>
    </row>
    <row r="456">
      <c r="A456" s="71" t="n"/>
      <c r="B456" s="8" t="n"/>
      <c r="C456" s="8" t="n"/>
      <c r="D456" s="8" t="n"/>
      <c r="E456" s="14" t="n"/>
      <c r="F456" s="8" t="n"/>
      <c r="G456" s="72">
        <f>IF(A456&lt;&gt;"",TEXT(A456,"YYYY-MM"),"")</f>
        <v/>
      </c>
    </row>
    <row r="457">
      <c r="A457" s="71" t="n"/>
      <c r="B457" s="8" t="n"/>
      <c r="C457" s="8" t="n"/>
      <c r="D457" s="8" t="n"/>
      <c r="E457" s="14" t="n"/>
      <c r="F457" s="8" t="n"/>
      <c r="G457" s="72">
        <f>IF(A457&lt;&gt;"",TEXT(A457,"YYYY-MM"),"")</f>
        <v/>
      </c>
    </row>
    <row r="458">
      <c r="A458" s="71" t="n"/>
      <c r="B458" s="8" t="n"/>
      <c r="C458" s="8" t="n"/>
      <c r="D458" s="8" t="n"/>
      <c r="E458" s="14" t="n"/>
      <c r="F458" s="8" t="n"/>
      <c r="G458" s="72">
        <f>IF(A458&lt;&gt;"",TEXT(A458,"YYYY-MM"),"")</f>
        <v/>
      </c>
    </row>
    <row r="459">
      <c r="A459" s="71" t="n"/>
      <c r="B459" s="8" t="n"/>
      <c r="C459" s="8" t="n"/>
      <c r="D459" s="8" t="n"/>
      <c r="E459" s="14" t="n"/>
      <c r="F459" s="8" t="n"/>
      <c r="G459" s="72">
        <f>IF(A459&lt;&gt;"",TEXT(A459,"YYYY-MM"),"")</f>
        <v/>
      </c>
    </row>
    <row r="460">
      <c r="A460" s="71" t="n"/>
      <c r="B460" s="8" t="n"/>
      <c r="C460" s="8" t="n"/>
      <c r="D460" s="8" t="n"/>
      <c r="E460" s="14" t="n"/>
      <c r="F460" s="8" t="n"/>
      <c r="G460" s="72">
        <f>IF(A460&lt;&gt;"",TEXT(A460,"YYYY-MM"),"")</f>
        <v/>
      </c>
    </row>
    <row r="461">
      <c r="A461" s="71" t="n"/>
      <c r="B461" s="8" t="n"/>
      <c r="C461" s="8" t="n"/>
      <c r="D461" s="8" t="n"/>
      <c r="E461" s="14" t="n"/>
      <c r="F461" s="8" t="n"/>
      <c r="G461" s="72">
        <f>IF(A461&lt;&gt;"",TEXT(A461,"YYYY-MM"),"")</f>
        <v/>
      </c>
    </row>
    <row r="462">
      <c r="A462" s="71" t="n"/>
      <c r="B462" s="8" t="n"/>
      <c r="C462" s="8" t="n"/>
      <c r="D462" s="8" t="n"/>
      <c r="E462" s="14" t="n"/>
      <c r="F462" s="8" t="n"/>
      <c r="G462" s="72">
        <f>IF(A462&lt;&gt;"",TEXT(A462,"YYYY-MM"),"")</f>
        <v/>
      </c>
    </row>
    <row r="463">
      <c r="A463" s="71" t="n"/>
      <c r="B463" s="8" t="n"/>
      <c r="C463" s="8" t="n"/>
      <c r="D463" s="8" t="n"/>
      <c r="E463" s="14" t="n"/>
      <c r="F463" s="8" t="n"/>
      <c r="G463" s="72">
        <f>IF(A463&lt;&gt;"",TEXT(A463,"YYYY-MM"),"")</f>
        <v/>
      </c>
    </row>
    <row r="464">
      <c r="A464" s="71" t="n"/>
      <c r="B464" s="8" t="n"/>
      <c r="C464" s="8" t="n"/>
      <c r="D464" s="8" t="n"/>
      <c r="E464" s="14" t="n"/>
      <c r="F464" s="8" t="n"/>
      <c r="G464" s="72">
        <f>IF(A464&lt;&gt;"",TEXT(A464,"YYYY-MM"),"")</f>
        <v/>
      </c>
    </row>
    <row r="465">
      <c r="A465" s="71" t="n"/>
      <c r="B465" s="8" t="n"/>
      <c r="C465" s="8" t="n"/>
      <c r="D465" s="8" t="n"/>
      <c r="E465" s="14" t="n"/>
      <c r="F465" s="8" t="n"/>
      <c r="G465" s="72">
        <f>IF(A465&lt;&gt;"",TEXT(A465,"YYYY-MM"),"")</f>
        <v/>
      </c>
    </row>
    <row r="466">
      <c r="A466" s="71" t="n"/>
      <c r="B466" s="8" t="n"/>
      <c r="C466" s="8" t="n"/>
      <c r="D466" s="8" t="n"/>
      <c r="E466" s="14" t="n"/>
      <c r="F466" s="8" t="n"/>
      <c r="G466" s="72">
        <f>IF(A466&lt;&gt;"",TEXT(A466,"YYYY-MM"),"")</f>
        <v/>
      </c>
    </row>
    <row r="467">
      <c r="A467" s="71" t="n"/>
      <c r="B467" s="8" t="n"/>
      <c r="C467" s="8" t="n"/>
      <c r="D467" s="8" t="n"/>
      <c r="E467" s="14" t="n"/>
      <c r="F467" s="8" t="n"/>
      <c r="G467" s="72">
        <f>IF(A467&lt;&gt;"",TEXT(A467,"YYYY-MM"),"")</f>
        <v/>
      </c>
    </row>
    <row r="468">
      <c r="A468" s="71" t="n"/>
      <c r="B468" s="8" t="n"/>
      <c r="C468" s="8" t="n"/>
      <c r="D468" s="8" t="n"/>
      <c r="E468" s="14" t="n"/>
      <c r="F468" s="8" t="n"/>
      <c r="G468" s="72">
        <f>IF(A468&lt;&gt;"",TEXT(A468,"YYYY-MM"),"")</f>
        <v/>
      </c>
    </row>
    <row r="469">
      <c r="A469" s="71" t="n"/>
      <c r="B469" s="8" t="n"/>
      <c r="C469" s="8" t="n"/>
      <c r="D469" s="8" t="n"/>
      <c r="E469" s="14" t="n"/>
      <c r="F469" s="8" t="n"/>
      <c r="G469" s="72">
        <f>IF(A469&lt;&gt;"",TEXT(A469,"YYYY-MM"),"")</f>
        <v/>
      </c>
    </row>
    <row r="470">
      <c r="A470" s="71" t="n"/>
      <c r="B470" s="8" t="n"/>
      <c r="C470" s="8" t="n"/>
      <c r="D470" s="8" t="n"/>
      <c r="E470" s="14" t="n"/>
      <c r="F470" s="8" t="n"/>
      <c r="G470" s="72">
        <f>IF(A470&lt;&gt;"",TEXT(A470,"YYYY-MM"),"")</f>
        <v/>
      </c>
    </row>
    <row r="471">
      <c r="A471" s="71" t="n"/>
      <c r="B471" s="8" t="n"/>
      <c r="C471" s="8" t="n"/>
      <c r="D471" s="8" t="n"/>
      <c r="E471" s="14" t="n"/>
      <c r="F471" s="8" t="n"/>
      <c r="G471" s="72">
        <f>IF(A471&lt;&gt;"",TEXT(A471,"YYYY-MM"),"")</f>
        <v/>
      </c>
    </row>
    <row r="472">
      <c r="A472" s="71" t="n"/>
      <c r="B472" s="8" t="n"/>
      <c r="C472" s="8" t="n"/>
      <c r="D472" s="8" t="n"/>
      <c r="E472" s="14" t="n"/>
      <c r="F472" s="8" t="n"/>
      <c r="G472" s="72">
        <f>IF(A472&lt;&gt;"",TEXT(A472,"YYYY-MM"),"")</f>
        <v/>
      </c>
    </row>
    <row r="473">
      <c r="A473" s="71" t="n"/>
      <c r="B473" s="8" t="n"/>
      <c r="C473" s="8" t="n"/>
      <c r="D473" s="8" t="n"/>
      <c r="E473" s="14" t="n"/>
      <c r="F473" s="8" t="n"/>
      <c r="G473" s="72">
        <f>IF(A473&lt;&gt;"",TEXT(A473,"YYYY-MM"),"")</f>
        <v/>
      </c>
    </row>
    <row r="474">
      <c r="A474" s="71" t="n"/>
      <c r="B474" s="8" t="n"/>
      <c r="C474" s="8" t="n"/>
      <c r="D474" s="8" t="n"/>
      <c r="E474" s="14" t="n"/>
      <c r="F474" s="8" t="n"/>
      <c r="G474" s="72">
        <f>IF(A474&lt;&gt;"",TEXT(A474,"YYYY-MM"),"")</f>
        <v/>
      </c>
    </row>
    <row r="475">
      <c r="A475" s="71" t="n"/>
      <c r="B475" s="8" t="n"/>
      <c r="C475" s="8" t="n"/>
      <c r="D475" s="8" t="n"/>
      <c r="E475" s="14" t="n"/>
      <c r="F475" s="8" t="n"/>
      <c r="G475" s="72">
        <f>IF(A475&lt;&gt;"",TEXT(A475,"YYYY-MM"),"")</f>
        <v/>
      </c>
    </row>
    <row r="476">
      <c r="A476" s="71" t="n"/>
      <c r="B476" s="8" t="n"/>
      <c r="C476" s="8" t="n"/>
      <c r="D476" s="8" t="n"/>
      <c r="E476" s="14" t="n"/>
      <c r="F476" s="8" t="n"/>
      <c r="G476" s="72">
        <f>IF(A476&lt;&gt;"",TEXT(A476,"YYYY-MM"),"")</f>
        <v/>
      </c>
    </row>
    <row r="477">
      <c r="A477" s="71" t="n"/>
      <c r="B477" s="8" t="n"/>
      <c r="C477" s="8" t="n"/>
      <c r="D477" s="8" t="n"/>
      <c r="E477" s="14" t="n"/>
      <c r="F477" s="8" t="n"/>
      <c r="G477" s="72">
        <f>IF(A477&lt;&gt;"",TEXT(A477,"YYYY-MM"),"")</f>
        <v/>
      </c>
    </row>
    <row r="478">
      <c r="A478" s="71" t="n"/>
      <c r="B478" s="8" t="n"/>
      <c r="C478" s="8" t="n"/>
      <c r="D478" s="8" t="n"/>
      <c r="E478" s="14" t="n"/>
      <c r="F478" s="8" t="n"/>
      <c r="G478" s="72">
        <f>IF(A478&lt;&gt;"",TEXT(A478,"YYYY-MM"),"")</f>
        <v/>
      </c>
    </row>
    <row r="479">
      <c r="A479" s="71" t="n"/>
      <c r="B479" s="8" t="n"/>
      <c r="C479" s="8" t="n"/>
      <c r="D479" s="8" t="n"/>
      <c r="E479" s="14" t="n"/>
      <c r="F479" s="8" t="n"/>
      <c r="G479" s="72">
        <f>IF(A479&lt;&gt;"",TEXT(A479,"YYYY-MM"),"")</f>
        <v/>
      </c>
    </row>
    <row r="480">
      <c r="A480" s="71" t="n"/>
      <c r="B480" s="8" t="n"/>
      <c r="C480" s="8" t="n"/>
      <c r="D480" s="8" t="n"/>
      <c r="E480" s="14" t="n"/>
      <c r="F480" s="8" t="n"/>
      <c r="G480" s="72">
        <f>IF(A480&lt;&gt;"",TEXT(A480,"YYYY-MM"),"")</f>
        <v/>
      </c>
    </row>
    <row r="481">
      <c r="A481" s="71" t="n"/>
      <c r="B481" s="8" t="n"/>
      <c r="C481" s="8" t="n"/>
      <c r="D481" s="8" t="n"/>
      <c r="E481" s="14" t="n"/>
      <c r="F481" s="8" t="n"/>
      <c r="G481" s="72">
        <f>IF(A481&lt;&gt;"",TEXT(A481,"YYYY-MM"),"")</f>
        <v/>
      </c>
    </row>
    <row r="482">
      <c r="A482" s="71" t="n"/>
      <c r="B482" s="8" t="n"/>
      <c r="C482" s="8" t="n"/>
      <c r="D482" s="8" t="n"/>
      <c r="E482" s="14" t="n"/>
      <c r="F482" s="8" t="n"/>
      <c r="G482" s="72">
        <f>IF(A482&lt;&gt;"",TEXT(A482,"YYYY-MM"),"")</f>
        <v/>
      </c>
    </row>
    <row r="483">
      <c r="A483" s="71" t="n"/>
      <c r="B483" s="8" t="n"/>
      <c r="C483" s="8" t="n"/>
      <c r="D483" s="8" t="n"/>
      <c r="E483" s="14" t="n"/>
      <c r="F483" s="8" t="n"/>
      <c r="G483" s="72">
        <f>IF(A483&lt;&gt;"",TEXT(A483,"YYYY-MM"),"")</f>
        <v/>
      </c>
    </row>
    <row r="484">
      <c r="A484" s="71" t="n"/>
      <c r="B484" s="8" t="n"/>
      <c r="C484" s="8" t="n"/>
      <c r="D484" s="8" t="n"/>
      <c r="E484" s="14" t="n"/>
      <c r="F484" s="8" t="n"/>
      <c r="G484" s="72">
        <f>IF(A484&lt;&gt;"",TEXT(A484,"YYYY-MM"),"")</f>
        <v/>
      </c>
    </row>
    <row r="485">
      <c r="A485" s="71" t="n"/>
      <c r="B485" s="8" t="n"/>
      <c r="C485" s="8" t="n"/>
      <c r="D485" s="8" t="n"/>
      <c r="E485" s="14" t="n"/>
      <c r="F485" s="8" t="n"/>
      <c r="G485" s="72">
        <f>IF(A485&lt;&gt;"",TEXT(A485,"YYYY-MM"),"")</f>
        <v/>
      </c>
    </row>
    <row r="486">
      <c r="A486" s="71" t="n"/>
      <c r="B486" s="8" t="n"/>
      <c r="C486" s="8" t="n"/>
      <c r="D486" s="8" t="n"/>
      <c r="E486" s="14" t="n"/>
      <c r="F486" s="8" t="n"/>
      <c r="G486" s="72">
        <f>IF(A486&lt;&gt;"",TEXT(A486,"YYYY-MM"),"")</f>
        <v/>
      </c>
    </row>
    <row r="487">
      <c r="A487" s="71" t="n"/>
      <c r="B487" s="8" t="n"/>
      <c r="C487" s="8" t="n"/>
      <c r="D487" s="8" t="n"/>
      <c r="E487" s="14" t="n"/>
      <c r="F487" s="8" t="n"/>
      <c r="G487" s="72">
        <f>IF(A487&lt;&gt;"",TEXT(A487,"YYYY-MM"),"")</f>
        <v/>
      </c>
    </row>
    <row r="488">
      <c r="A488" s="71" t="n"/>
      <c r="B488" s="8" t="n"/>
      <c r="C488" s="8" t="n"/>
      <c r="D488" s="8" t="n"/>
      <c r="E488" s="14" t="n"/>
      <c r="F488" s="8" t="n"/>
      <c r="G488" s="72">
        <f>IF(A488&lt;&gt;"",TEXT(A488,"YYYY-MM"),"")</f>
        <v/>
      </c>
    </row>
    <row r="489">
      <c r="A489" s="71" t="n"/>
      <c r="B489" s="8" t="n"/>
      <c r="C489" s="8" t="n"/>
      <c r="D489" s="8" t="n"/>
      <c r="E489" s="14" t="n"/>
      <c r="F489" s="8" t="n"/>
      <c r="G489" s="72">
        <f>IF(A489&lt;&gt;"",TEXT(A489,"YYYY-MM"),"")</f>
        <v/>
      </c>
    </row>
    <row r="490">
      <c r="A490" s="71" t="n"/>
      <c r="B490" s="8" t="n"/>
      <c r="C490" s="8" t="n"/>
      <c r="D490" s="8" t="n"/>
      <c r="E490" s="14" t="n"/>
      <c r="F490" s="8" t="n"/>
      <c r="G490" s="72">
        <f>IF(A490&lt;&gt;"",TEXT(A490,"YYYY-MM"),"")</f>
        <v/>
      </c>
    </row>
    <row r="491">
      <c r="A491" s="71" t="n"/>
      <c r="B491" s="8" t="n"/>
      <c r="C491" s="8" t="n"/>
      <c r="D491" s="8" t="n"/>
      <c r="E491" s="14" t="n"/>
      <c r="F491" s="8" t="n"/>
      <c r="G491" s="72">
        <f>IF(A491&lt;&gt;"",TEXT(A491,"YYYY-MM"),"")</f>
        <v/>
      </c>
    </row>
    <row r="492">
      <c r="A492" s="71" t="n"/>
      <c r="B492" s="8" t="n"/>
      <c r="C492" s="8" t="n"/>
      <c r="D492" s="8" t="n"/>
      <c r="E492" s="14" t="n"/>
      <c r="F492" s="8" t="n"/>
      <c r="G492" s="72">
        <f>IF(A492&lt;&gt;"",TEXT(A492,"YYYY-MM"),"")</f>
        <v/>
      </c>
    </row>
    <row r="493">
      <c r="A493" s="71" t="n"/>
      <c r="B493" s="8" t="n"/>
      <c r="C493" s="8" t="n"/>
      <c r="D493" s="8" t="n"/>
      <c r="E493" s="14" t="n"/>
      <c r="F493" s="8" t="n"/>
      <c r="G493" s="72">
        <f>IF(A493&lt;&gt;"",TEXT(A493,"YYYY-MM"),"")</f>
        <v/>
      </c>
    </row>
    <row r="494">
      <c r="A494" s="71" t="n"/>
      <c r="B494" s="8" t="n"/>
      <c r="C494" s="8" t="n"/>
      <c r="D494" s="8" t="n"/>
      <c r="E494" s="14" t="n"/>
      <c r="F494" s="8" t="n"/>
      <c r="G494" s="72">
        <f>IF(A494&lt;&gt;"",TEXT(A494,"YYYY-MM"),"")</f>
        <v/>
      </c>
    </row>
    <row r="495">
      <c r="A495" s="71" t="n"/>
      <c r="B495" s="8" t="n"/>
      <c r="C495" s="8" t="n"/>
      <c r="D495" s="8" t="n"/>
      <c r="E495" s="14" t="n"/>
      <c r="F495" s="8" t="n"/>
      <c r="G495" s="72">
        <f>IF(A495&lt;&gt;"",TEXT(A495,"YYYY-MM"),"")</f>
        <v/>
      </c>
    </row>
    <row r="496">
      <c r="A496" s="71" t="n"/>
      <c r="B496" s="8" t="n"/>
      <c r="C496" s="8" t="n"/>
      <c r="D496" s="8" t="n"/>
      <c r="E496" s="14" t="n"/>
      <c r="F496" s="8" t="n"/>
      <c r="G496" s="72">
        <f>IF(A496&lt;&gt;"",TEXT(A496,"YYYY-MM"),"")</f>
        <v/>
      </c>
    </row>
    <row r="497">
      <c r="A497" s="71" t="n"/>
      <c r="B497" s="8" t="n"/>
      <c r="C497" s="8" t="n"/>
      <c r="D497" s="8" t="n"/>
      <c r="E497" s="14" t="n"/>
      <c r="F497" s="8" t="n"/>
      <c r="G497" s="72">
        <f>IF(A497&lt;&gt;"",TEXT(A497,"YYYY-MM"),"")</f>
        <v/>
      </c>
    </row>
    <row r="498">
      <c r="A498" s="71" t="n"/>
      <c r="B498" s="8" t="n"/>
      <c r="C498" s="8" t="n"/>
      <c r="D498" s="8" t="n"/>
      <c r="E498" s="14" t="n"/>
      <c r="F498" s="8" t="n"/>
      <c r="G498" s="72">
        <f>IF(A498&lt;&gt;"",TEXT(A498,"YYYY-MM"),"")</f>
        <v/>
      </c>
    </row>
    <row r="499">
      <c r="A499" s="71" t="n"/>
      <c r="B499" s="8" t="n"/>
      <c r="C499" s="8" t="n"/>
      <c r="D499" s="8" t="n"/>
      <c r="E499" s="14" t="n"/>
      <c r="F499" s="8" t="n"/>
      <c r="G499" s="72">
        <f>IF(A499&lt;&gt;"",TEXT(A499,"YYYY-MM"),"")</f>
        <v/>
      </c>
    </row>
    <row r="500">
      <c r="A500" s="71" t="n"/>
      <c r="B500" s="8" t="n"/>
      <c r="C500" s="8" t="n"/>
      <c r="D500" s="8" t="n"/>
      <c r="E500" s="14" t="n"/>
      <c r="F500" s="8" t="n"/>
      <c r="G500" s="72">
        <f>IF(A500&lt;&gt;"",TEXT(A500,"YYYY-MM"),"")</f>
        <v/>
      </c>
    </row>
    <row r="501">
      <c r="A501" s="71" t="n"/>
      <c r="B501" s="8" t="n"/>
      <c r="C501" s="8" t="n"/>
      <c r="D501" s="8" t="n"/>
      <c r="E501" s="14" t="n"/>
      <c r="F501" s="8" t="n"/>
      <c r="G501" s="72">
        <f>IF(A501&lt;&gt;"",TEXT(A501,"YYYY-MM"),"")</f>
        <v/>
      </c>
    </row>
    <row r="502">
      <c r="A502" s="71" t="n"/>
      <c r="B502" s="8" t="n"/>
      <c r="C502" s="8" t="n"/>
      <c r="D502" s="8" t="n"/>
      <c r="E502" s="14" t="n"/>
      <c r="F502" s="8" t="n"/>
      <c r="G502" s="72">
        <f>IF(A502&lt;&gt;"",TEXT(A502,"YYYY-MM"),"")</f>
        <v/>
      </c>
    </row>
    <row r="503">
      <c r="A503" s="71" t="n"/>
      <c r="B503" s="8" t="n"/>
      <c r="C503" s="8" t="n"/>
      <c r="D503" s="8" t="n"/>
      <c r="E503" s="14" t="n"/>
      <c r="F503" s="8" t="n"/>
      <c r="G503" s="72">
        <f>IF(A503&lt;&gt;"",TEXT(A503,"YYYY-MM"),"")</f>
        <v/>
      </c>
    </row>
    <row r="504">
      <c r="A504" s="71" t="n"/>
      <c r="B504" s="8" t="n"/>
      <c r="C504" s="8" t="n"/>
      <c r="D504" s="8" t="n"/>
      <c r="E504" s="14" t="n"/>
      <c r="F504" s="8" t="n"/>
      <c r="G504" s="72">
        <f>IF(A504&lt;&gt;"",TEXT(A504,"YYYY-MM"),"")</f>
        <v/>
      </c>
    </row>
    <row r="505">
      <c r="A505" s="71" t="n"/>
      <c r="B505" s="8" t="n"/>
      <c r="C505" s="8" t="n"/>
      <c r="D505" s="8" t="n"/>
      <c r="E505" s="14" t="n"/>
      <c r="F505" s="8" t="n"/>
      <c r="G505" s="72">
        <f>IF(A505&lt;&gt;"",TEXT(A505,"YYYY-MM"),"")</f>
        <v/>
      </c>
    </row>
    <row r="506">
      <c r="A506" s="71" t="n"/>
      <c r="B506" s="8" t="n"/>
      <c r="C506" s="8" t="n"/>
      <c r="D506" s="8" t="n"/>
      <c r="E506" s="14" t="n"/>
      <c r="F506" s="8" t="n"/>
      <c r="G506" s="72">
        <f>IF(A506&lt;&gt;"",TEXT(A506,"YYYY-MM"),"")</f>
        <v/>
      </c>
    </row>
    <row r="507">
      <c r="A507" s="71" t="n"/>
      <c r="B507" s="8" t="n"/>
      <c r="C507" s="8" t="n"/>
      <c r="D507" s="8" t="n"/>
      <c r="E507" s="14" t="n"/>
      <c r="F507" s="8" t="n"/>
      <c r="G507" s="72">
        <f>IF(A507&lt;&gt;"",TEXT(A507,"YYYY-MM"),"")</f>
        <v/>
      </c>
    </row>
    <row r="508">
      <c r="A508" s="71" t="n"/>
      <c r="B508" s="8" t="n"/>
      <c r="C508" s="8" t="n"/>
      <c r="D508" s="8" t="n"/>
      <c r="E508" s="14" t="n"/>
      <c r="F508" s="8" t="n"/>
      <c r="G508" s="72">
        <f>IF(A508&lt;&gt;"",TEXT(A508,"YYYY-MM"),"")</f>
        <v/>
      </c>
    </row>
    <row r="509">
      <c r="A509" s="71" t="n"/>
      <c r="B509" s="8" t="n"/>
      <c r="C509" s="8" t="n"/>
      <c r="D509" s="8" t="n"/>
      <c r="E509" s="14" t="n"/>
      <c r="F509" s="8" t="n"/>
      <c r="G509" s="72">
        <f>IF(A509&lt;&gt;"",TEXT(A509,"YYYY-MM"),"")</f>
        <v/>
      </c>
    </row>
    <row r="510">
      <c r="A510" s="71" t="n"/>
      <c r="B510" s="8" t="n"/>
      <c r="C510" s="8" t="n"/>
      <c r="D510" s="8" t="n"/>
      <c r="E510" s="14" t="n"/>
      <c r="F510" s="8" t="n"/>
      <c r="G510" s="72">
        <f>IF(A510&lt;&gt;"",TEXT(A510,"YYYY-MM"),"")</f>
        <v/>
      </c>
    </row>
    <row r="511">
      <c r="A511" s="71" t="n"/>
      <c r="B511" s="8" t="n"/>
      <c r="C511" s="8" t="n"/>
      <c r="D511" s="8" t="n"/>
      <c r="E511" s="14" t="n"/>
      <c r="F511" s="8" t="n"/>
      <c r="G511" s="72">
        <f>IF(A511&lt;&gt;"",TEXT(A511,"YYYY-MM"),"")</f>
        <v/>
      </c>
    </row>
    <row r="512">
      <c r="A512" s="71" t="n"/>
      <c r="B512" s="8" t="n"/>
      <c r="C512" s="8" t="n"/>
      <c r="D512" s="8" t="n"/>
      <c r="E512" s="14" t="n"/>
      <c r="F512" s="8" t="n"/>
      <c r="G512" s="72">
        <f>IF(A512&lt;&gt;"",TEXT(A512,"YYYY-MM"),"")</f>
        <v/>
      </c>
    </row>
    <row r="513">
      <c r="A513" s="71" t="n"/>
      <c r="B513" s="8" t="n"/>
      <c r="C513" s="8" t="n"/>
      <c r="D513" s="8" t="n"/>
      <c r="E513" s="14" t="n"/>
      <c r="F513" s="8" t="n"/>
      <c r="G513" s="72">
        <f>IF(A513&lt;&gt;"",TEXT(A513,"YYYY-MM"),"")</f>
        <v/>
      </c>
    </row>
    <row r="514">
      <c r="A514" s="71" t="n"/>
      <c r="B514" s="8" t="n"/>
      <c r="C514" s="8" t="n"/>
      <c r="D514" s="8" t="n"/>
      <c r="E514" s="14" t="n"/>
      <c r="F514" s="8" t="n"/>
      <c r="G514" s="72">
        <f>IF(A514&lt;&gt;"",TEXT(A514,"YYYY-MM"),"")</f>
        <v/>
      </c>
    </row>
    <row r="515">
      <c r="A515" s="71" t="n"/>
      <c r="B515" s="8" t="n"/>
      <c r="C515" s="8" t="n"/>
      <c r="D515" s="8" t="n"/>
      <c r="E515" s="14" t="n"/>
      <c r="F515" s="8" t="n"/>
      <c r="G515" s="72">
        <f>IF(A515&lt;&gt;"",TEXT(A515,"YYYY-MM"),"")</f>
        <v/>
      </c>
    </row>
    <row r="516">
      <c r="A516" s="71" t="n"/>
      <c r="B516" s="8" t="n"/>
      <c r="C516" s="8" t="n"/>
      <c r="D516" s="8" t="n"/>
      <c r="E516" s="14" t="n"/>
      <c r="F516" s="8" t="n"/>
      <c r="G516" s="72">
        <f>IF(A516&lt;&gt;"",TEXT(A516,"YYYY-MM"),"")</f>
        <v/>
      </c>
    </row>
    <row r="517">
      <c r="A517" s="71" t="n"/>
      <c r="B517" s="8" t="n"/>
      <c r="C517" s="8" t="n"/>
      <c r="D517" s="8" t="n"/>
      <c r="E517" s="14" t="n"/>
      <c r="F517" s="8" t="n"/>
      <c r="G517" s="72">
        <f>IF(A517&lt;&gt;"",TEXT(A517,"YYYY-MM"),"")</f>
        <v/>
      </c>
    </row>
    <row r="518">
      <c r="A518" s="71" t="n"/>
      <c r="B518" s="8" t="n"/>
      <c r="C518" s="8" t="n"/>
      <c r="D518" s="8" t="n"/>
      <c r="E518" s="14" t="n"/>
      <c r="F518" s="8" t="n"/>
      <c r="G518" s="72">
        <f>IF(A518&lt;&gt;"",TEXT(A518,"YYYY-MM"),"")</f>
        <v/>
      </c>
    </row>
    <row r="519">
      <c r="A519" s="71" t="n"/>
      <c r="B519" s="8" t="n"/>
      <c r="C519" s="8" t="n"/>
      <c r="D519" s="8" t="n"/>
      <c r="E519" s="14" t="n"/>
      <c r="F519" s="8" t="n"/>
      <c r="G519" s="72">
        <f>IF(A519&lt;&gt;"",TEXT(A519,"YYYY-MM"),"")</f>
        <v/>
      </c>
    </row>
    <row r="520">
      <c r="A520" s="71" t="n"/>
      <c r="B520" s="8" t="n"/>
      <c r="C520" s="8" t="n"/>
      <c r="D520" s="8" t="n"/>
      <c r="E520" s="14" t="n"/>
      <c r="F520" s="8" t="n"/>
      <c r="G520" s="72">
        <f>IF(A520&lt;&gt;"",TEXT(A520,"YYYY-MM"),"")</f>
        <v/>
      </c>
    </row>
    <row r="521">
      <c r="A521" s="71" t="n"/>
      <c r="B521" s="8" t="n"/>
      <c r="C521" s="8" t="n"/>
      <c r="D521" s="8" t="n"/>
      <c r="E521" s="14" t="n"/>
      <c r="F521" s="8" t="n"/>
      <c r="G521" s="72">
        <f>IF(A521&lt;&gt;"",TEXT(A521,"YYYY-MM"),"")</f>
        <v/>
      </c>
    </row>
    <row r="522">
      <c r="A522" s="71" t="n"/>
      <c r="B522" s="8" t="n"/>
      <c r="C522" s="8" t="n"/>
      <c r="D522" s="8" t="n"/>
      <c r="E522" s="14" t="n"/>
      <c r="F522" s="8" t="n"/>
      <c r="G522" s="72">
        <f>IF(A522&lt;&gt;"",TEXT(A522,"YYYY-MM"),"")</f>
        <v/>
      </c>
    </row>
    <row r="523">
      <c r="A523" s="71" t="n"/>
      <c r="B523" s="8" t="n"/>
      <c r="C523" s="8" t="n"/>
      <c r="D523" s="8" t="n"/>
      <c r="E523" s="14" t="n"/>
      <c r="F523" s="8" t="n"/>
      <c r="G523" s="72">
        <f>IF(A523&lt;&gt;"",TEXT(A523,"YYYY-MM"),"")</f>
        <v/>
      </c>
    </row>
    <row r="524">
      <c r="A524" s="71" t="n"/>
      <c r="B524" s="8" t="n"/>
      <c r="C524" s="8" t="n"/>
      <c r="D524" s="8" t="n"/>
      <c r="E524" s="14" t="n"/>
      <c r="F524" s="8" t="n"/>
      <c r="G524" s="72">
        <f>IF(A524&lt;&gt;"",TEXT(A524,"YYYY-MM"),"")</f>
        <v/>
      </c>
    </row>
    <row r="525">
      <c r="A525" s="71" t="n"/>
      <c r="B525" s="8" t="n"/>
      <c r="C525" s="8" t="n"/>
      <c r="D525" s="8" t="n"/>
      <c r="E525" s="14" t="n"/>
      <c r="F525" s="8" t="n"/>
      <c r="G525" s="72">
        <f>IF(A525&lt;&gt;"",TEXT(A525,"YYYY-MM"),"")</f>
        <v/>
      </c>
    </row>
    <row r="526">
      <c r="A526" s="71" t="n"/>
      <c r="B526" s="8" t="n"/>
      <c r="C526" s="8" t="n"/>
      <c r="D526" s="8" t="n"/>
      <c r="E526" s="14" t="n"/>
      <c r="F526" s="8" t="n"/>
      <c r="G526" s="72">
        <f>IF(A526&lt;&gt;"",TEXT(A526,"YYYY-MM"),"")</f>
        <v/>
      </c>
    </row>
    <row r="527">
      <c r="A527" s="71" t="n"/>
      <c r="B527" s="8" t="n"/>
      <c r="C527" s="8" t="n"/>
      <c r="D527" s="8" t="n"/>
      <c r="E527" s="14" t="n"/>
      <c r="F527" s="8" t="n"/>
      <c r="G527" s="72">
        <f>IF(A527&lt;&gt;"",TEXT(A527,"YYYY-MM"),"")</f>
        <v/>
      </c>
    </row>
    <row r="528">
      <c r="A528" s="71" t="n"/>
      <c r="B528" s="8" t="n"/>
      <c r="C528" s="8" t="n"/>
      <c r="D528" s="8" t="n"/>
      <c r="E528" s="14" t="n"/>
      <c r="F528" s="8" t="n"/>
      <c r="G528" s="72">
        <f>IF(A528&lt;&gt;"",TEXT(A528,"YYYY-MM"),"")</f>
        <v/>
      </c>
    </row>
    <row r="529">
      <c r="A529" s="71" t="n"/>
      <c r="B529" s="8" t="n"/>
      <c r="C529" s="8" t="n"/>
      <c r="D529" s="8" t="n"/>
      <c r="E529" s="14" t="n"/>
      <c r="F529" s="8" t="n"/>
      <c r="G529" s="72">
        <f>IF(A529&lt;&gt;"",TEXT(A529,"YYYY-MM"),"")</f>
        <v/>
      </c>
    </row>
    <row r="530">
      <c r="A530" s="71" t="n"/>
      <c r="B530" s="8" t="n"/>
      <c r="C530" s="8" t="n"/>
      <c r="D530" s="8" t="n"/>
      <c r="E530" s="14" t="n"/>
      <c r="F530" s="8" t="n"/>
      <c r="G530" s="72">
        <f>IF(A530&lt;&gt;"",TEXT(A530,"YYYY-MM"),"")</f>
        <v/>
      </c>
    </row>
    <row r="531">
      <c r="A531" s="71" t="n"/>
      <c r="B531" s="8" t="n"/>
      <c r="C531" s="8" t="n"/>
      <c r="D531" s="8" t="n"/>
      <c r="E531" s="14" t="n"/>
      <c r="F531" s="8" t="n"/>
      <c r="G531" s="72">
        <f>IF(A531&lt;&gt;"",TEXT(A531,"YYYY-MM"),"")</f>
        <v/>
      </c>
    </row>
    <row r="532">
      <c r="A532" s="71" t="n"/>
      <c r="B532" s="8" t="n"/>
      <c r="C532" s="8" t="n"/>
      <c r="D532" s="8" t="n"/>
      <c r="E532" s="14" t="n"/>
      <c r="F532" s="8" t="n"/>
      <c r="G532" s="72">
        <f>IF(A532&lt;&gt;"",TEXT(A532,"YYYY-MM"),"")</f>
        <v/>
      </c>
    </row>
    <row r="533">
      <c r="A533" s="71" t="n"/>
      <c r="B533" s="8" t="n"/>
      <c r="C533" s="8" t="n"/>
      <c r="D533" s="8" t="n"/>
      <c r="E533" s="14" t="n"/>
      <c r="F533" s="8" t="n"/>
      <c r="G533" s="72">
        <f>IF(A533&lt;&gt;"",TEXT(A533,"YYYY-MM"),"")</f>
        <v/>
      </c>
    </row>
    <row r="534">
      <c r="A534" s="71" t="n"/>
      <c r="B534" s="8" t="n"/>
      <c r="C534" s="8" t="n"/>
      <c r="D534" s="8" t="n"/>
      <c r="E534" s="14" t="n"/>
      <c r="F534" s="8" t="n"/>
      <c r="G534" s="72">
        <f>IF(A534&lt;&gt;"",TEXT(A534,"YYYY-MM"),"")</f>
        <v/>
      </c>
    </row>
    <row r="535">
      <c r="A535" s="71" t="n"/>
      <c r="B535" s="8" t="n"/>
      <c r="C535" s="8" t="n"/>
      <c r="D535" s="8" t="n"/>
      <c r="E535" s="14" t="n"/>
      <c r="F535" s="8" t="n"/>
      <c r="G535" s="72">
        <f>IF(A535&lt;&gt;"",TEXT(A535,"YYYY-MM"),"")</f>
        <v/>
      </c>
    </row>
    <row r="536">
      <c r="A536" s="71" t="n"/>
      <c r="B536" s="8" t="n"/>
      <c r="C536" s="8" t="n"/>
      <c r="D536" s="8" t="n"/>
      <c r="E536" s="14" t="n"/>
      <c r="F536" s="8" t="n"/>
      <c r="G536" s="72">
        <f>IF(A536&lt;&gt;"",TEXT(A536,"YYYY-MM"),"")</f>
        <v/>
      </c>
    </row>
    <row r="537">
      <c r="A537" s="71" t="n"/>
      <c r="B537" s="8" t="n"/>
      <c r="C537" s="8" t="n"/>
      <c r="D537" s="8" t="n"/>
      <c r="E537" s="14" t="n"/>
      <c r="F537" s="8" t="n"/>
      <c r="G537" s="72">
        <f>IF(A537&lt;&gt;"",TEXT(A537,"YYYY-MM"),"")</f>
        <v/>
      </c>
    </row>
    <row r="538">
      <c r="A538" s="71" t="n"/>
      <c r="B538" s="8" t="n"/>
      <c r="C538" s="8" t="n"/>
      <c r="D538" s="8" t="n"/>
      <c r="E538" s="14" t="n"/>
      <c r="F538" s="8" t="n"/>
      <c r="G538" s="72">
        <f>IF(A538&lt;&gt;"",TEXT(A538,"YYYY-MM"),"")</f>
        <v/>
      </c>
    </row>
    <row r="539">
      <c r="A539" s="71" t="n"/>
      <c r="B539" s="8" t="n"/>
      <c r="C539" s="8" t="n"/>
      <c r="D539" s="8" t="n"/>
      <c r="E539" s="14" t="n"/>
      <c r="F539" s="8" t="n"/>
      <c r="G539" s="72">
        <f>IF(A539&lt;&gt;"",TEXT(A539,"YYYY-MM"),"")</f>
        <v/>
      </c>
    </row>
    <row r="540">
      <c r="A540" s="71" t="n"/>
      <c r="B540" s="8" t="n"/>
      <c r="C540" s="8" t="n"/>
      <c r="D540" s="8" t="n"/>
      <c r="E540" s="14" t="n"/>
      <c r="F540" s="8" t="n"/>
      <c r="G540" s="72">
        <f>IF(A540&lt;&gt;"",TEXT(A540,"YYYY-MM"),"")</f>
        <v/>
      </c>
    </row>
    <row r="541">
      <c r="A541" s="71" t="n"/>
      <c r="B541" s="8" t="n"/>
      <c r="C541" s="8" t="n"/>
      <c r="D541" s="8" t="n"/>
      <c r="E541" s="14" t="n"/>
      <c r="F541" s="8" t="n"/>
      <c r="G541" s="72">
        <f>IF(A541&lt;&gt;"",TEXT(A541,"YYYY-MM"),"")</f>
        <v/>
      </c>
    </row>
    <row r="542">
      <c r="A542" s="71" t="n"/>
      <c r="B542" s="8" t="n"/>
      <c r="C542" s="8" t="n"/>
      <c r="D542" s="8" t="n"/>
      <c r="E542" s="14" t="n"/>
      <c r="F542" s="8" t="n"/>
      <c r="G542" s="72">
        <f>IF(A542&lt;&gt;"",TEXT(A542,"YYYY-MM"),"")</f>
        <v/>
      </c>
    </row>
    <row r="543">
      <c r="A543" s="71" t="n"/>
      <c r="B543" s="8" t="n"/>
      <c r="C543" s="8" t="n"/>
      <c r="D543" s="8" t="n"/>
      <c r="E543" s="14" t="n"/>
      <c r="F543" s="8" t="n"/>
      <c r="G543" s="72">
        <f>IF(A543&lt;&gt;"",TEXT(A543,"YYYY-MM"),"")</f>
        <v/>
      </c>
    </row>
    <row r="544">
      <c r="A544" s="71" t="n"/>
      <c r="B544" s="8" t="n"/>
      <c r="C544" s="8" t="n"/>
      <c r="D544" s="8" t="n"/>
      <c r="E544" s="14" t="n"/>
      <c r="F544" s="8" t="n"/>
      <c r="G544" s="72">
        <f>IF(A544&lt;&gt;"",TEXT(A544,"YYYY-MM"),"")</f>
        <v/>
      </c>
    </row>
    <row r="545">
      <c r="A545" s="71" t="n"/>
      <c r="B545" s="8" t="n"/>
      <c r="C545" s="8" t="n"/>
      <c r="D545" s="8" t="n"/>
      <c r="E545" s="14" t="n"/>
      <c r="F545" s="8" t="n"/>
      <c r="G545" s="72">
        <f>IF(A545&lt;&gt;"",TEXT(A545,"YYYY-MM"),"")</f>
        <v/>
      </c>
    </row>
    <row r="546">
      <c r="A546" s="71" t="n"/>
      <c r="B546" s="8" t="n"/>
      <c r="C546" s="8" t="n"/>
      <c r="D546" s="8" t="n"/>
      <c r="E546" s="14" t="n"/>
      <c r="F546" s="8" t="n"/>
      <c r="G546" s="72">
        <f>IF(A546&lt;&gt;"",TEXT(A546,"YYYY-MM"),"")</f>
        <v/>
      </c>
    </row>
    <row r="547">
      <c r="A547" s="71" t="n"/>
      <c r="B547" s="8" t="n"/>
      <c r="C547" s="8" t="n"/>
      <c r="D547" s="8" t="n"/>
      <c r="E547" s="14" t="n"/>
      <c r="F547" s="8" t="n"/>
      <c r="G547" s="72">
        <f>IF(A547&lt;&gt;"",TEXT(A547,"YYYY-MM"),"")</f>
        <v/>
      </c>
    </row>
    <row r="548">
      <c r="A548" s="71" t="n"/>
      <c r="B548" s="8" t="n"/>
      <c r="C548" s="8" t="n"/>
      <c r="D548" s="8" t="n"/>
      <c r="E548" s="14" t="n"/>
      <c r="F548" s="8" t="n"/>
      <c r="G548" s="72">
        <f>IF(A548&lt;&gt;"",TEXT(A548,"YYYY-MM"),"")</f>
        <v/>
      </c>
    </row>
    <row r="549">
      <c r="A549" s="71" t="n"/>
      <c r="B549" s="8" t="n"/>
      <c r="C549" s="8" t="n"/>
      <c r="D549" s="8" t="n"/>
      <c r="E549" s="14" t="n"/>
      <c r="F549" s="8" t="n"/>
      <c r="G549" s="72">
        <f>IF(A549&lt;&gt;"",TEXT(A549,"YYYY-MM"),"")</f>
        <v/>
      </c>
    </row>
    <row r="550">
      <c r="A550" s="71" t="n"/>
      <c r="B550" s="8" t="n"/>
      <c r="C550" s="8" t="n"/>
      <c r="D550" s="8" t="n"/>
      <c r="E550" s="14" t="n"/>
      <c r="F550" s="8" t="n"/>
      <c r="G550" s="72">
        <f>IF(A550&lt;&gt;"",TEXT(A550,"YYYY-MM"),"")</f>
        <v/>
      </c>
    </row>
    <row r="551">
      <c r="A551" s="71" t="n"/>
      <c r="B551" s="8" t="n"/>
      <c r="C551" s="8" t="n"/>
      <c r="D551" s="8" t="n"/>
      <c r="E551" s="14" t="n"/>
      <c r="F551" s="8" t="n"/>
      <c r="G551" s="72">
        <f>IF(A551&lt;&gt;"",TEXT(A551,"YYYY-MM"),"")</f>
        <v/>
      </c>
    </row>
    <row r="552">
      <c r="A552" s="71" t="n"/>
      <c r="B552" s="8" t="n"/>
      <c r="C552" s="8" t="n"/>
      <c r="D552" s="8" t="n"/>
      <c r="E552" s="14" t="n"/>
      <c r="F552" s="8" t="n"/>
      <c r="G552" s="72">
        <f>IF(A552&lt;&gt;"",TEXT(A552,"YYYY-MM"),"")</f>
        <v/>
      </c>
    </row>
    <row r="553">
      <c r="A553" s="71" t="n"/>
      <c r="B553" s="8" t="n"/>
      <c r="C553" s="8" t="n"/>
      <c r="D553" s="8" t="n"/>
      <c r="E553" s="14" t="n"/>
      <c r="F553" s="8" t="n"/>
      <c r="G553" s="72">
        <f>IF(A553&lt;&gt;"",TEXT(A553,"YYYY-MM"),"")</f>
        <v/>
      </c>
    </row>
    <row r="554">
      <c r="A554" s="71" t="n"/>
      <c r="B554" s="8" t="n"/>
      <c r="C554" s="8" t="n"/>
      <c r="D554" s="8" t="n"/>
      <c r="E554" s="14" t="n"/>
      <c r="F554" s="8" t="n"/>
      <c r="G554" s="72">
        <f>IF(A554&lt;&gt;"",TEXT(A554,"YYYY-MM"),"")</f>
        <v/>
      </c>
    </row>
    <row r="555">
      <c r="A555" s="71" t="n"/>
      <c r="B555" s="8" t="n"/>
      <c r="C555" s="8" t="n"/>
      <c r="D555" s="8" t="n"/>
      <c r="E555" s="14" t="n"/>
      <c r="F555" s="8" t="n"/>
      <c r="G555" s="72">
        <f>IF(A555&lt;&gt;"",TEXT(A555,"YYYY-MM"),"")</f>
        <v/>
      </c>
    </row>
    <row r="556">
      <c r="A556" s="71" t="n"/>
      <c r="B556" s="8" t="n"/>
      <c r="C556" s="8" t="n"/>
      <c r="D556" s="8" t="n"/>
      <c r="E556" s="14" t="n"/>
      <c r="F556" s="8" t="n"/>
      <c r="G556" s="72">
        <f>IF(A556&lt;&gt;"",TEXT(A556,"YYYY-MM"),"")</f>
        <v/>
      </c>
    </row>
    <row r="557">
      <c r="A557" s="71" t="n"/>
      <c r="B557" s="8" t="n"/>
      <c r="C557" s="8" t="n"/>
      <c r="D557" s="8" t="n"/>
      <c r="E557" s="14" t="n"/>
      <c r="F557" s="8" t="n"/>
      <c r="G557" s="72">
        <f>IF(A557&lt;&gt;"",TEXT(A557,"YYYY-MM"),"")</f>
        <v/>
      </c>
    </row>
    <row r="558">
      <c r="A558" s="71" t="n"/>
      <c r="B558" s="8" t="n"/>
      <c r="C558" s="8" t="n"/>
      <c r="D558" s="8" t="n"/>
      <c r="E558" s="14" t="n"/>
      <c r="F558" s="8" t="n"/>
      <c r="G558" s="72">
        <f>IF(A558&lt;&gt;"",TEXT(A558,"YYYY-MM"),"")</f>
        <v/>
      </c>
    </row>
    <row r="559">
      <c r="A559" s="71" t="n"/>
      <c r="B559" s="8" t="n"/>
      <c r="C559" s="8" t="n"/>
      <c r="D559" s="8" t="n"/>
      <c r="E559" s="14" t="n"/>
      <c r="F559" s="8" t="n"/>
      <c r="G559" s="72">
        <f>IF(A559&lt;&gt;"",TEXT(A559,"YYYY-MM"),"")</f>
        <v/>
      </c>
    </row>
    <row r="560">
      <c r="A560" s="71" t="n"/>
      <c r="B560" s="8" t="n"/>
      <c r="C560" s="8" t="n"/>
      <c r="D560" s="8" t="n"/>
      <c r="E560" s="14" t="n"/>
      <c r="F560" s="8" t="n"/>
      <c r="G560" s="72">
        <f>IF(A560&lt;&gt;"",TEXT(A560,"YYYY-MM"),"")</f>
        <v/>
      </c>
    </row>
    <row r="561">
      <c r="A561" s="71" t="n"/>
      <c r="B561" s="8" t="n"/>
      <c r="C561" s="8" t="n"/>
      <c r="D561" s="8" t="n"/>
      <c r="E561" s="14" t="n"/>
      <c r="F561" s="8" t="n"/>
      <c r="G561" s="72">
        <f>IF(A561&lt;&gt;"",TEXT(A561,"YYYY-MM"),"")</f>
        <v/>
      </c>
    </row>
    <row r="562">
      <c r="A562" s="71" t="n"/>
      <c r="B562" s="8" t="n"/>
      <c r="C562" s="8" t="n"/>
      <c r="D562" s="8" t="n"/>
      <c r="E562" s="14" t="n"/>
      <c r="F562" s="8" t="n"/>
      <c r="G562" s="72">
        <f>IF(A562&lt;&gt;"",TEXT(A562,"YYYY-MM"),"")</f>
        <v/>
      </c>
    </row>
    <row r="563">
      <c r="A563" s="71" t="n"/>
      <c r="B563" s="8" t="n"/>
      <c r="C563" s="8" t="n"/>
      <c r="D563" s="8" t="n"/>
      <c r="E563" s="14" t="n"/>
      <c r="F563" s="8" t="n"/>
      <c r="G563" s="72">
        <f>IF(A563&lt;&gt;"",TEXT(A563,"YYYY-MM"),"")</f>
        <v/>
      </c>
    </row>
    <row r="564">
      <c r="A564" s="71" t="n"/>
      <c r="B564" s="8" t="n"/>
      <c r="C564" s="8" t="n"/>
      <c r="D564" s="8" t="n"/>
      <c r="E564" s="14" t="n"/>
      <c r="F564" s="8" t="n"/>
      <c r="G564" s="72">
        <f>IF(A564&lt;&gt;"",TEXT(A564,"YYYY-MM"),"")</f>
        <v/>
      </c>
    </row>
    <row r="565">
      <c r="A565" s="71" t="n"/>
      <c r="B565" s="8" t="n"/>
      <c r="C565" s="8" t="n"/>
      <c r="D565" s="8" t="n"/>
      <c r="E565" s="14" t="n"/>
      <c r="F565" s="8" t="n"/>
      <c r="G565" s="72">
        <f>IF(A565&lt;&gt;"",TEXT(A565,"YYYY-MM"),"")</f>
        <v/>
      </c>
    </row>
    <row r="566">
      <c r="A566" s="71" t="n"/>
      <c r="B566" s="8" t="n"/>
      <c r="C566" s="8" t="n"/>
      <c r="D566" s="8" t="n"/>
      <c r="E566" s="14" t="n"/>
      <c r="F566" s="8" t="n"/>
      <c r="G566" s="72">
        <f>IF(A566&lt;&gt;"",TEXT(A566,"YYYY-MM"),"")</f>
        <v/>
      </c>
    </row>
    <row r="567">
      <c r="A567" s="71" t="n"/>
      <c r="B567" s="8" t="n"/>
      <c r="C567" s="8" t="n"/>
      <c r="D567" s="8" t="n"/>
      <c r="E567" s="14" t="n"/>
      <c r="F567" s="8" t="n"/>
      <c r="G567" s="72">
        <f>IF(A567&lt;&gt;"",TEXT(A567,"YYYY-MM"),"")</f>
        <v/>
      </c>
    </row>
    <row r="568">
      <c r="A568" s="71" t="n"/>
      <c r="B568" s="8" t="n"/>
      <c r="C568" s="8" t="n"/>
      <c r="D568" s="8" t="n"/>
      <c r="E568" s="14" t="n"/>
      <c r="F568" s="8" t="n"/>
      <c r="G568" s="72">
        <f>IF(A568&lt;&gt;"",TEXT(A568,"YYYY-MM"),"")</f>
        <v/>
      </c>
    </row>
    <row r="569">
      <c r="A569" s="71" t="n"/>
      <c r="B569" s="8" t="n"/>
      <c r="C569" s="8" t="n"/>
      <c r="D569" s="8" t="n"/>
      <c r="E569" s="14" t="n"/>
      <c r="F569" s="8" t="n"/>
      <c r="G569" s="72">
        <f>IF(A569&lt;&gt;"",TEXT(A569,"YYYY-MM"),"")</f>
        <v/>
      </c>
    </row>
    <row r="570">
      <c r="A570" s="71" t="n"/>
      <c r="B570" s="8" t="n"/>
      <c r="C570" s="8" t="n"/>
      <c r="D570" s="8" t="n"/>
      <c r="E570" s="14" t="n"/>
      <c r="F570" s="8" t="n"/>
      <c r="G570" s="72">
        <f>IF(A570&lt;&gt;"",TEXT(A570,"YYYY-MM"),"")</f>
        <v/>
      </c>
    </row>
    <row r="571">
      <c r="A571" s="71" t="n"/>
      <c r="B571" s="8" t="n"/>
      <c r="C571" s="8" t="n"/>
      <c r="D571" s="8" t="n"/>
      <c r="E571" s="14" t="n"/>
      <c r="F571" s="8" t="n"/>
      <c r="G571" s="72">
        <f>IF(A571&lt;&gt;"",TEXT(A571,"YYYY-MM"),"")</f>
        <v/>
      </c>
    </row>
    <row r="572">
      <c r="A572" s="71" t="n"/>
      <c r="B572" s="8" t="n"/>
      <c r="C572" s="8" t="n"/>
      <c r="D572" s="8" t="n"/>
      <c r="E572" s="14" t="n"/>
      <c r="F572" s="8" t="n"/>
      <c r="G572" s="72">
        <f>IF(A572&lt;&gt;"",TEXT(A572,"YYYY-MM"),"")</f>
        <v/>
      </c>
    </row>
    <row r="573">
      <c r="A573" s="71" t="n"/>
      <c r="B573" s="8" t="n"/>
      <c r="C573" s="8" t="n"/>
      <c r="D573" s="8" t="n"/>
      <c r="E573" s="14" t="n"/>
      <c r="F573" s="8" t="n"/>
      <c r="G573" s="72">
        <f>IF(A573&lt;&gt;"",TEXT(A573,"YYYY-MM"),"")</f>
        <v/>
      </c>
    </row>
    <row r="574">
      <c r="A574" s="71" t="n"/>
      <c r="B574" s="8" t="n"/>
      <c r="C574" s="8" t="n"/>
      <c r="D574" s="8" t="n"/>
      <c r="E574" s="14" t="n"/>
      <c r="F574" s="8" t="n"/>
      <c r="G574" s="72">
        <f>IF(A574&lt;&gt;"",TEXT(A574,"YYYY-MM"),"")</f>
        <v/>
      </c>
    </row>
    <row r="575">
      <c r="A575" s="71" t="n"/>
      <c r="B575" s="8" t="n"/>
      <c r="C575" s="8" t="n"/>
      <c r="D575" s="8" t="n"/>
      <c r="E575" s="14" t="n"/>
      <c r="F575" s="8" t="n"/>
      <c r="G575" s="72">
        <f>IF(A575&lt;&gt;"",TEXT(A575,"YYYY-MM"),"")</f>
        <v/>
      </c>
    </row>
    <row r="576">
      <c r="A576" s="71" t="n"/>
      <c r="B576" s="8" t="n"/>
      <c r="C576" s="8" t="n"/>
      <c r="D576" s="8" t="n"/>
      <c r="E576" s="14" t="n"/>
      <c r="F576" s="8" t="n"/>
      <c r="G576" s="72">
        <f>IF(A576&lt;&gt;"",TEXT(A576,"YYYY-MM"),"")</f>
        <v/>
      </c>
    </row>
    <row r="577">
      <c r="A577" s="71" t="n"/>
      <c r="B577" s="8" t="n"/>
      <c r="C577" s="8" t="n"/>
      <c r="D577" s="8" t="n"/>
      <c r="E577" s="14" t="n"/>
      <c r="F577" s="8" t="n"/>
      <c r="G577" s="72">
        <f>IF(A577&lt;&gt;"",TEXT(A577,"YYYY-MM"),"")</f>
        <v/>
      </c>
    </row>
    <row r="578">
      <c r="A578" s="71" t="n"/>
      <c r="B578" s="8" t="n"/>
      <c r="C578" s="8" t="n"/>
      <c r="D578" s="8" t="n"/>
      <c r="E578" s="14" t="n"/>
      <c r="F578" s="8" t="n"/>
      <c r="G578" s="72">
        <f>IF(A578&lt;&gt;"",TEXT(A578,"YYYY-MM"),"")</f>
        <v/>
      </c>
    </row>
    <row r="579">
      <c r="A579" s="71" t="n"/>
      <c r="B579" s="8" t="n"/>
      <c r="C579" s="8" t="n"/>
      <c r="D579" s="8" t="n"/>
      <c r="E579" s="14" t="n"/>
      <c r="F579" s="8" t="n"/>
      <c r="G579" s="72">
        <f>IF(A579&lt;&gt;"",TEXT(A579,"YYYY-MM"),"")</f>
        <v/>
      </c>
    </row>
    <row r="580">
      <c r="A580" s="71" t="n"/>
      <c r="B580" s="8" t="n"/>
      <c r="C580" s="8" t="n"/>
      <c r="D580" s="8" t="n"/>
      <c r="E580" s="14" t="n"/>
      <c r="F580" s="8" t="n"/>
      <c r="G580" s="72">
        <f>IF(A580&lt;&gt;"",TEXT(A580,"YYYY-MM"),"")</f>
        <v/>
      </c>
    </row>
    <row r="581">
      <c r="A581" s="71" t="n"/>
      <c r="B581" s="8" t="n"/>
      <c r="C581" s="8" t="n"/>
      <c r="D581" s="8" t="n"/>
      <c r="E581" s="14" t="n"/>
      <c r="F581" s="8" t="n"/>
      <c r="G581" s="72">
        <f>IF(A581&lt;&gt;"",TEXT(A581,"YYYY-MM"),"")</f>
        <v/>
      </c>
    </row>
    <row r="582">
      <c r="A582" s="71" t="n"/>
      <c r="B582" s="8" t="n"/>
      <c r="C582" s="8" t="n"/>
      <c r="D582" s="8" t="n"/>
      <c r="E582" s="14" t="n"/>
      <c r="F582" s="8" t="n"/>
      <c r="G582" s="72">
        <f>IF(A582&lt;&gt;"",TEXT(A582,"YYYY-MM"),"")</f>
        <v/>
      </c>
    </row>
    <row r="583">
      <c r="A583" s="71" t="n"/>
      <c r="B583" s="8" t="n"/>
      <c r="C583" s="8" t="n"/>
      <c r="D583" s="8" t="n"/>
      <c r="E583" s="14" t="n"/>
      <c r="F583" s="8" t="n"/>
      <c r="G583" s="72">
        <f>IF(A583&lt;&gt;"",TEXT(A583,"YYYY-MM"),"")</f>
        <v/>
      </c>
    </row>
    <row r="584">
      <c r="A584" s="71" t="n"/>
      <c r="B584" s="8" t="n"/>
      <c r="C584" s="8" t="n"/>
      <c r="D584" s="8" t="n"/>
      <c r="E584" s="14" t="n"/>
      <c r="F584" s="8" t="n"/>
      <c r="G584" s="72">
        <f>IF(A584&lt;&gt;"",TEXT(A584,"YYYY-MM"),"")</f>
        <v/>
      </c>
    </row>
    <row r="585">
      <c r="A585" s="71" t="n"/>
      <c r="B585" s="8" t="n"/>
      <c r="C585" s="8" t="n"/>
      <c r="D585" s="8" t="n"/>
      <c r="E585" s="14" t="n"/>
      <c r="F585" s="8" t="n"/>
      <c r="G585" s="72">
        <f>IF(A585&lt;&gt;"",TEXT(A585,"YYYY-MM"),"")</f>
        <v/>
      </c>
    </row>
    <row r="586">
      <c r="A586" s="71" t="n"/>
      <c r="B586" s="8" t="n"/>
      <c r="C586" s="8" t="n"/>
      <c r="D586" s="8" t="n"/>
      <c r="E586" s="14" t="n"/>
      <c r="F586" s="8" t="n"/>
      <c r="G586" s="72">
        <f>IF(A586&lt;&gt;"",TEXT(A586,"YYYY-MM"),"")</f>
        <v/>
      </c>
    </row>
    <row r="587">
      <c r="A587" s="71" t="n"/>
      <c r="B587" s="8" t="n"/>
      <c r="C587" s="8" t="n"/>
      <c r="D587" s="8" t="n"/>
      <c r="E587" s="14" t="n"/>
      <c r="F587" s="8" t="n"/>
      <c r="G587" s="72">
        <f>IF(A587&lt;&gt;"",TEXT(A587,"YYYY-MM"),"")</f>
        <v/>
      </c>
    </row>
    <row r="588">
      <c r="A588" s="71" t="n"/>
      <c r="B588" s="8" t="n"/>
      <c r="C588" s="8" t="n"/>
      <c r="D588" s="8" t="n"/>
      <c r="E588" s="14" t="n"/>
      <c r="F588" s="8" t="n"/>
      <c r="G588" s="72">
        <f>IF(A588&lt;&gt;"",TEXT(A588,"YYYY-MM"),"")</f>
        <v/>
      </c>
    </row>
    <row r="589">
      <c r="A589" s="71" t="n"/>
      <c r="B589" s="8" t="n"/>
      <c r="C589" s="8" t="n"/>
      <c r="D589" s="8" t="n"/>
      <c r="E589" s="14" t="n"/>
      <c r="F589" s="8" t="n"/>
      <c r="G589" s="72">
        <f>IF(A589&lt;&gt;"",TEXT(A589,"YYYY-MM"),"")</f>
        <v/>
      </c>
    </row>
    <row r="590">
      <c r="A590" s="71" t="n"/>
      <c r="B590" s="8" t="n"/>
      <c r="C590" s="8" t="n"/>
      <c r="D590" s="8" t="n"/>
      <c r="E590" s="14" t="n"/>
      <c r="F590" s="8" t="n"/>
      <c r="G590" s="72">
        <f>IF(A590&lt;&gt;"",TEXT(A590,"YYYY-MM"),"")</f>
        <v/>
      </c>
    </row>
    <row r="591">
      <c r="A591" s="71" t="n"/>
      <c r="B591" s="8" t="n"/>
      <c r="C591" s="8" t="n"/>
      <c r="D591" s="8" t="n"/>
      <c r="E591" s="14" t="n"/>
      <c r="F591" s="8" t="n"/>
      <c r="G591" s="72">
        <f>IF(A591&lt;&gt;"",TEXT(A591,"YYYY-MM"),"")</f>
        <v/>
      </c>
    </row>
    <row r="592">
      <c r="A592" s="71" t="n"/>
      <c r="B592" s="8" t="n"/>
      <c r="C592" s="8" t="n"/>
      <c r="D592" s="8" t="n"/>
      <c r="E592" s="14" t="n"/>
      <c r="F592" s="8" t="n"/>
      <c r="G592" s="72">
        <f>IF(A592&lt;&gt;"",TEXT(A592,"YYYY-MM"),"")</f>
        <v/>
      </c>
    </row>
    <row r="593">
      <c r="A593" s="71" t="n"/>
      <c r="B593" s="8" t="n"/>
      <c r="C593" s="8" t="n"/>
      <c r="D593" s="8" t="n"/>
      <c r="E593" s="14" t="n"/>
      <c r="F593" s="8" t="n"/>
      <c r="G593" s="72">
        <f>IF(A593&lt;&gt;"",TEXT(A593,"YYYY-MM"),"")</f>
        <v/>
      </c>
    </row>
    <row r="594">
      <c r="A594" s="71" t="n"/>
      <c r="B594" s="8" t="n"/>
      <c r="C594" s="8" t="n"/>
      <c r="D594" s="8" t="n"/>
      <c r="E594" s="14" t="n"/>
      <c r="F594" s="8" t="n"/>
      <c r="G594" s="72">
        <f>IF(A594&lt;&gt;"",TEXT(A594,"YYYY-MM"),"")</f>
        <v/>
      </c>
    </row>
    <row r="595">
      <c r="A595" s="71" t="n"/>
      <c r="B595" s="8" t="n"/>
      <c r="C595" s="8" t="n"/>
      <c r="D595" s="8" t="n"/>
      <c r="E595" s="14" t="n"/>
      <c r="F595" s="8" t="n"/>
      <c r="G595" s="72">
        <f>IF(A595&lt;&gt;"",TEXT(A595,"YYYY-MM"),"")</f>
        <v/>
      </c>
    </row>
    <row r="596">
      <c r="A596" s="71" t="n"/>
      <c r="B596" s="8" t="n"/>
      <c r="C596" s="8" t="n"/>
      <c r="D596" s="8" t="n"/>
      <c r="E596" s="14" t="n"/>
      <c r="F596" s="8" t="n"/>
      <c r="G596" s="72">
        <f>IF(A596&lt;&gt;"",TEXT(A596,"YYYY-MM"),"")</f>
        <v/>
      </c>
    </row>
    <row r="597">
      <c r="A597" s="71" t="n"/>
      <c r="B597" s="8" t="n"/>
      <c r="C597" s="8" t="n"/>
      <c r="D597" s="8" t="n"/>
      <c r="E597" s="14" t="n"/>
      <c r="F597" s="8" t="n"/>
      <c r="G597" s="72">
        <f>IF(A597&lt;&gt;"",TEXT(A597,"YYYY-MM"),"")</f>
        <v/>
      </c>
    </row>
    <row r="598">
      <c r="A598" s="71" t="n"/>
      <c r="B598" s="8" t="n"/>
      <c r="C598" s="8" t="n"/>
      <c r="D598" s="8" t="n"/>
      <c r="E598" s="14" t="n"/>
      <c r="F598" s="8" t="n"/>
      <c r="G598" s="72">
        <f>IF(A598&lt;&gt;"",TEXT(A598,"YYYY-MM"),"")</f>
        <v/>
      </c>
    </row>
    <row r="599">
      <c r="A599" s="71" t="n"/>
      <c r="B599" s="8" t="n"/>
      <c r="C599" s="8" t="n"/>
      <c r="D599" s="8" t="n"/>
      <c r="E599" s="14" t="n"/>
      <c r="F599" s="8" t="n"/>
      <c r="G599" s="72">
        <f>IF(A599&lt;&gt;"",TEXT(A599,"YYYY-MM"),"")</f>
        <v/>
      </c>
    </row>
    <row r="600">
      <c r="A600" s="71" t="n"/>
      <c r="B600" s="8" t="n"/>
      <c r="C600" s="8" t="n"/>
      <c r="D600" s="8" t="n"/>
      <c r="E600" s="14" t="n"/>
      <c r="F600" s="8" t="n"/>
      <c r="G600" s="72">
        <f>IF(A600&lt;&gt;"",TEXT(A600,"YYYY-MM"),"")</f>
        <v/>
      </c>
    </row>
    <row r="601">
      <c r="A601" s="71" t="n"/>
      <c r="B601" s="8" t="n"/>
      <c r="C601" s="8" t="n"/>
      <c r="D601" s="8" t="n"/>
      <c r="E601" s="14" t="n"/>
      <c r="F601" s="8" t="n"/>
      <c r="G601" s="72">
        <f>IF(A601&lt;&gt;"",TEXT(A601,"YYYY-MM"),"")</f>
        <v/>
      </c>
    </row>
    <row r="602">
      <c r="A602" s="71" t="n"/>
      <c r="B602" s="8" t="n"/>
      <c r="C602" s="8" t="n"/>
      <c r="D602" s="8" t="n"/>
      <c r="E602" s="14" t="n"/>
      <c r="F602" s="8" t="n"/>
      <c r="G602" s="72">
        <f>IF(A602&lt;&gt;"",TEXT(A602,"YYYY-MM"),"")</f>
        <v/>
      </c>
    </row>
    <row r="603">
      <c r="A603" s="71" t="n"/>
      <c r="B603" s="8" t="n"/>
      <c r="C603" s="8" t="n"/>
      <c r="D603" s="8" t="n"/>
      <c r="E603" s="14" t="n"/>
      <c r="F603" s="8" t="n"/>
      <c r="G603" s="72">
        <f>IF(A603&lt;&gt;"",TEXT(A603,"YYYY-MM"),"")</f>
        <v/>
      </c>
    </row>
    <row r="604">
      <c r="A604" s="71" t="n"/>
      <c r="B604" s="8" t="n"/>
      <c r="C604" s="8" t="n"/>
      <c r="D604" s="8" t="n"/>
      <c r="E604" s="14" t="n"/>
      <c r="F604" s="8" t="n"/>
      <c r="G604" s="72">
        <f>IF(A604&lt;&gt;"",TEXT(A604,"YYYY-MM"),"")</f>
        <v/>
      </c>
    </row>
    <row r="605">
      <c r="A605" s="71" t="n"/>
      <c r="B605" s="8" t="n"/>
      <c r="C605" s="8" t="n"/>
      <c r="D605" s="8" t="n"/>
      <c r="E605" s="14" t="n"/>
      <c r="F605" s="8" t="n"/>
      <c r="G605" s="72">
        <f>IF(A605&lt;&gt;"",TEXT(A605,"YYYY-MM"),"")</f>
        <v/>
      </c>
    </row>
    <row r="606">
      <c r="A606" s="71" t="n"/>
      <c r="B606" s="8" t="n"/>
      <c r="C606" s="8" t="n"/>
      <c r="D606" s="8" t="n"/>
      <c r="E606" s="14" t="n"/>
      <c r="F606" s="8" t="n"/>
      <c r="G606" s="72">
        <f>IF(A606&lt;&gt;"",TEXT(A606,"YYYY-MM"),"")</f>
        <v/>
      </c>
    </row>
    <row r="607">
      <c r="A607" s="71" t="n"/>
      <c r="B607" s="8" t="n"/>
      <c r="C607" s="8" t="n"/>
      <c r="D607" s="8" t="n"/>
      <c r="E607" s="14" t="n"/>
      <c r="F607" s="8" t="n"/>
      <c r="G607" s="72">
        <f>IF(A607&lt;&gt;"",TEXT(A607,"YYYY-MM"),"")</f>
        <v/>
      </c>
    </row>
    <row r="608">
      <c r="A608" s="71" t="n"/>
      <c r="B608" s="8" t="n"/>
      <c r="C608" s="8" t="n"/>
      <c r="D608" s="8" t="n"/>
      <c r="E608" s="14" t="n"/>
      <c r="F608" s="8" t="n"/>
      <c r="G608" s="72">
        <f>IF(A608&lt;&gt;"",TEXT(A608,"YYYY-MM"),"")</f>
        <v/>
      </c>
    </row>
    <row r="609">
      <c r="A609" s="71" t="n"/>
      <c r="B609" s="8" t="n"/>
      <c r="C609" s="8" t="n"/>
      <c r="D609" s="8" t="n"/>
      <c r="E609" s="14" t="n"/>
      <c r="F609" s="8" t="n"/>
      <c r="G609" s="72">
        <f>IF(A609&lt;&gt;"",TEXT(A609,"YYYY-MM"),"")</f>
        <v/>
      </c>
    </row>
    <row r="610">
      <c r="A610" s="71" t="n"/>
      <c r="B610" s="8" t="n"/>
      <c r="C610" s="8" t="n"/>
      <c r="D610" s="8" t="n"/>
      <c r="E610" s="14" t="n"/>
      <c r="F610" s="8" t="n"/>
      <c r="G610" s="72">
        <f>IF(A610&lt;&gt;"",TEXT(A610,"YYYY-MM"),"")</f>
        <v/>
      </c>
    </row>
    <row r="611">
      <c r="A611" s="71" t="n"/>
      <c r="B611" s="8" t="n"/>
      <c r="C611" s="8" t="n"/>
      <c r="D611" s="8" t="n"/>
      <c r="E611" s="14" t="n"/>
      <c r="F611" s="8" t="n"/>
      <c r="G611" s="72">
        <f>IF(A611&lt;&gt;"",TEXT(A611,"YYYY-MM"),"")</f>
        <v/>
      </c>
    </row>
    <row r="612">
      <c r="A612" s="71" t="n"/>
      <c r="B612" s="8" t="n"/>
      <c r="C612" s="8" t="n"/>
      <c r="D612" s="8" t="n"/>
      <c r="E612" s="14" t="n"/>
      <c r="F612" s="8" t="n"/>
      <c r="G612" s="72">
        <f>IF(A612&lt;&gt;"",TEXT(A612,"YYYY-MM"),"")</f>
        <v/>
      </c>
    </row>
    <row r="613">
      <c r="A613" s="71" t="n"/>
      <c r="B613" s="8" t="n"/>
      <c r="C613" s="8" t="n"/>
      <c r="D613" s="8" t="n"/>
      <c r="E613" s="14" t="n"/>
      <c r="F613" s="8" t="n"/>
      <c r="G613" s="72">
        <f>IF(A613&lt;&gt;"",TEXT(A613,"YYYY-MM"),"")</f>
        <v/>
      </c>
    </row>
    <row r="614">
      <c r="A614" s="71" t="n"/>
      <c r="B614" s="8" t="n"/>
      <c r="C614" s="8" t="n"/>
      <c r="D614" s="8" t="n"/>
      <c r="E614" s="14" t="n"/>
      <c r="F614" s="8" t="n"/>
      <c r="G614" s="72">
        <f>IF(A614&lt;&gt;"",TEXT(A614,"YYYY-MM"),"")</f>
        <v/>
      </c>
    </row>
    <row r="615">
      <c r="A615" s="71" t="n"/>
      <c r="B615" s="8" t="n"/>
      <c r="C615" s="8" t="n"/>
      <c r="D615" s="8" t="n"/>
      <c r="E615" s="14" t="n"/>
      <c r="F615" s="8" t="n"/>
      <c r="G615" s="72">
        <f>IF(A615&lt;&gt;"",TEXT(A615,"YYYY-MM"),"")</f>
        <v/>
      </c>
    </row>
    <row r="616">
      <c r="A616" s="71" t="n"/>
      <c r="B616" s="8" t="n"/>
      <c r="C616" s="8" t="n"/>
      <c r="D616" s="8" t="n"/>
      <c r="E616" s="14" t="n"/>
      <c r="F616" s="8" t="n"/>
      <c r="G616" s="72">
        <f>IF(A616&lt;&gt;"",TEXT(A616,"YYYY-MM"),"")</f>
        <v/>
      </c>
    </row>
    <row r="617">
      <c r="A617" s="71" t="n"/>
      <c r="B617" s="8" t="n"/>
      <c r="C617" s="8" t="n"/>
      <c r="D617" s="8" t="n"/>
      <c r="E617" s="14" t="n"/>
      <c r="F617" s="8" t="n"/>
      <c r="G617" s="72">
        <f>IF(A617&lt;&gt;"",TEXT(A617,"YYYY-MM"),"")</f>
        <v/>
      </c>
    </row>
    <row r="618">
      <c r="A618" s="71" t="n"/>
      <c r="B618" s="8" t="n"/>
      <c r="C618" s="8" t="n"/>
      <c r="D618" s="8" t="n"/>
      <c r="E618" s="14" t="n"/>
      <c r="F618" s="8" t="n"/>
      <c r="G618" s="72">
        <f>IF(A618&lt;&gt;"",TEXT(A618,"YYYY-MM"),"")</f>
        <v/>
      </c>
    </row>
    <row r="619">
      <c r="A619" s="71" t="n"/>
      <c r="B619" s="8" t="n"/>
      <c r="C619" s="8" t="n"/>
      <c r="D619" s="8" t="n"/>
      <c r="E619" s="14" t="n"/>
      <c r="F619" s="8" t="n"/>
      <c r="G619" s="72">
        <f>IF(A619&lt;&gt;"",TEXT(A619,"YYYY-MM"),"")</f>
        <v/>
      </c>
    </row>
    <row r="620">
      <c r="A620" s="71" t="n"/>
      <c r="B620" s="8" t="n"/>
      <c r="C620" s="8" t="n"/>
      <c r="D620" s="8" t="n"/>
      <c r="E620" s="14" t="n"/>
      <c r="F620" s="8" t="n"/>
      <c r="G620" s="72">
        <f>IF(A620&lt;&gt;"",TEXT(A620,"YYYY-MM"),"")</f>
        <v/>
      </c>
    </row>
    <row r="621">
      <c r="A621" s="71" t="n"/>
      <c r="B621" s="8" t="n"/>
      <c r="C621" s="8" t="n"/>
      <c r="D621" s="8" t="n"/>
      <c r="E621" s="14" t="n"/>
      <c r="F621" s="8" t="n"/>
      <c r="G621" s="72">
        <f>IF(A621&lt;&gt;"",TEXT(A621,"YYYY-MM"),"")</f>
        <v/>
      </c>
    </row>
    <row r="622">
      <c r="A622" s="71" t="n"/>
      <c r="B622" s="8" t="n"/>
      <c r="C622" s="8" t="n"/>
      <c r="D622" s="8" t="n"/>
      <c r="E622" s="14" t="n"/>
      <c r="F622" s="8" t="n"/>
      <c r="G622" s="72">
        <f>IF(A622&lt;&gt;"",TEXT(A622,"YYYY-MM"),"")</f>
        <v/>
      </c>
    </row>
    <row r="623">
      <c r="A623" s="71" t="n"/>
      <c r="B623" s="8" t="n"/>
      <c r="C623" s="8" t="n"/>
      <c r="D623" s="8" t="n"/>
      <c r="E623" s="14" t="n"/>
      <c r="F623" s="8" t="n"/>
      <c r="G623" s="72">
        <f>IF(A623&lt;&gt;"",TEXT(A623,"YYYY-MM"),"")</f>
        <v/>
      </c>
    </row>
    <row r="624">
      <c r="A624" s="71" t="n"/>
      <c r="B624" s="8" t="n"/>
      <c r="C624" s="8" t="n"/>
      <c r="D624" s="8" t="n"/>
      <c r="E624" s="14" t="n"/>
      <c r="F624" s="8" t="n"/>
      <c r="G624" s="72">
        <f>IF(A624&lt;&gt;"",TEXT(A624,"YYYY-MM"),"")</f>
        <v/>
      </c>
    </row>
    <row r="625">
      <c r="A625" s="71" t="n"/>
      <c r="B625" s="8" t="n"/>
      <c r="C625" s="8" t="n"/>
      <c r="D625" s="8" t="n"/>
      <c r="E625" s="14" t="n"/>
      <c r="F625" s="8" t="n"/>
      <c r="G625" s="72">
        <f>IF(A625&lt;&gt;"",TEXT(A625,"YYYY-MM"),"")</f>
        <v/>
      </c>
    </row>
    <row r="626">
      <c r="A626" s="71" t="n"/>
      <c r="B626" s="8" t="n"/>
      <c r="C626" s="8" t="n"/>
      <c r="D626" s="8" t="n"/>
      <c r="E626" s="14" t="n"/>
      <c r="F626" s="8" t="n"/>
      <c r="G626" s="72">
        <f>IF(A626&lt;&gt;"",TEXT(A626,"YYYY-MM"),"")</f>
        <v/>
      </c>
    </row>
    <row r="627">
      <c r="A627" s="71" t="n"/>
      <c r="B627" s="8" t="n"/>
      <c r="C627" s="8" t="n"/>
      <c r="D627" s="8" t="n"/>
      <c r="E627" s="14" t="n"/>
      <c r="F627" s="8" t="n"/>
      <c r="G627" s="72">
        <f>IF(A627&lt;&gt;"",TEXT(A627,"YYYY-MM"),"")</f>
        <v/>
      </c>
    </row>
    <row r="628">
      <c r="A628" s="71" t="n"/>
      <c r="B628" s="8" t="n"/>
      <c r="C628" s="8" t="n"/>
      <c r="D628" s="8" t="n"/>
      <c r="E628" s="14" t="n"/>
      <c r="F628" s="8" t="n"/>
      <c r="G628" s="72">
        <f>IF(A628&lt;&gt;"",TEXT(A628,"YYYY-MM"),"")</f>
        <v/>
      </c>
    </row>
    <row r="629">
      <c r="A629" s="71" t="n"/>
      <c r="B629" s="8" t="n"/>
      <c r="C629" s="8" t="n"/>
      <c r="D629" s="8" t="n"/>
      <c r="E629" s="14" t="n"/>
      <c r="F629" s="8" t="n"/>
      <c r="G629" s="72">
        <f>IF(A629&lt;&gt;"",TEXT(A629,"YYYY-MM"),"")</f>
        <v/>
      </c>
    </row>
    <row r="630">
      <c r="A630" s="71" t="n"/>
      <c r="B630" s="8" t="n"/>
      <c r="C630" s="8" t="n"/>
      <c r="D630" s="8" t="n"/>
      <c r="E630" s="14" t="n"/>
      <c r="F630" s="8" t="n"/>
      <c r="G630" s="72">
        <f>IF(A630&lt;&gt;"",TEXT(A630,"YYYY-MM"),"")</f>
        <v/>
      </c>
    </row>
    <row r="631">
      <c r="A631" s="71" t="n"/>
      <c r="B631" s="8" t="n"/>
      <c r="C631" s="8" t="n"/>
      <c r="D631" s="8" t="n"/>
      <c r="E631" s="14" t="n"/>
      <c r="F631" s="8" t="n"/>
      <c r="G631" s="72">
        <f>IF(A631&lt;&gt;"",TEXT(A631,"YYYY-MM"),"")</f>
        <v/>
      </c>
    </row>
    <row r="632">
      <c r="A632" s="71" t="n"/>
      <c r="B632" s="8" t="n"/>
      <c r="C632" s="8" t="n"/>
      <c r="D632" s="8" t="n"/>
      <c r="E632" s="14" t="n"/>
      <c r="F632" s="8" t="n"/>
      <c r="G632" s="72">
        <f>IF(A632&lt;&gt;"",TEXT(A632,"YYYY-MM"),"")</f>
        <v/>
      </c>
    </row>
    <row r="633">
      <c r="A633" s="71" t="n"/>
      <c r="B633" s="8" t="n"/>
      <c r="C633" s="8" t="n"/>
      <c r="D633" s="8" t="n"/>
      <c r="E633" s="14" t="n"/>
      <c r="F633" s="8" t="n"/>
      <c r="G633" s="72">
        <f>IF(A633&lt;&gt;"",TEXT(A633,"YYYY-MM"),"")</f>
        <v/>
      </c>
    </row>
    <row r="634">
      <c r="A634" s="71" t="n"/>
      <c r="B634" s="8" t="n"/>
      <c r="C634" s="8" t="n"/>
      <c r="D634" s="8" t="n"/>
      <c r="E634" s="14" t="n"/>
      <c r="F634" s="8" t="n"/>
      <c r="G634" s="72">
        <f>IF(A634&lt;&gt;"",TEXT(A634,"YYYY-MM"),"")</f>
        <v/>
      </c>
    </row>
    <row r="635">
      <c r="A635" s="71" t="n"/>
      <c r="B635" s="8" t="n"/>
      <c r="C635" s="8" t="n"/>
      <c r="D635" s="8" t="n"/>
      <c r="E635" s="14" t="n"/>
      <c r="F635" s="8" t="n"/>
      <c r="G635" s="72">
        <f>IF(A635&lt;&gt;"",TEXT(A635,"YYYY-MM"),"")</f>
        <v/>
      </c>
    </row>
    <row r="636">
      <c r="A636" s="71" t="n"/>
      <c r="B636" s="8" t="n"/>
      <c r="C636" s="8" t="n"/>
      <c r="D636" s="8" t="n"/>
      <c r="E636" s="14" t="n"/>
      <c r="F636" s="8" t="n"/>
      <c r="G636" s="72">
        <f>IF(A636&lt;&gt;"",TEXT(A636,"YYYY-MM"),"")</f>
        <v/>
      </c>
    </row>
    <row r="637">
      <c r="A637" s="71" t="n"/>
      <c r="B637" s="8" t="n"/>
      <c r="C637" s="8" t="n"/>
      <c r="D637" s="8" t="n"/>
      <c r="E637" s="14" t="n"/>
      <c r="F637" s="8" t="n"/>
      <c r="G637" s="72">
        <f>IF(A637&lt;&gt;"",TEXT(A637,"YYYY-MM"),"")</f>
        <v/>
      </c>
    </row>
    <row r="638">
      <c r="A638" s="71" t="n"/>
      <c r="B638" s="8" t="n"/>
      <c r="C638" s="8" t="n"/>
      <c r="D638" s="8" t="n"/>
      <c r="E638" s="14" t="n"/>
      <c r="F638" s="8" t="n"/>
      <c r="G638" s="72">
        <f>IF(A638&lt;&gt;"",TEXT(A638,"YYYY-MM"),"")</f>
        <v/>
      </c>
    </row>
    <row r="639">
      <c r="A639" s="71" t="n"/>
      <c r="B639" s="8" t="n"/>
      <c r="C639" s="8" t="n"/>
      <c r="D639" s="8" t="n"/>
      <c r="E639" s="14" t="n"/>
      <c r="F639" s="8" t="n"/>
      <c r="G639" s="72">
        <f>IF(A639&lt;&gt;"",TEXT(A639,"YYYY-MM"),"")</f>
        <v/>
      </c>
    </row>
    <row r="640">
      <c r="A640" s="71" t="n"/>
      <c r="B640" s="8" t="n"/>
      <c r="C640" s="8" t="n"/>
      <c r="D640" s="8" t="n"/>
      <c r="E640" s="14" t="n"/>
      <c r="F640" s="8" t="n"/>
      <c r="G640" s="72">
        <f>IF(A640&lt;&gt;"",TEXT(A640,"YYYY-MM"),"")</f>
        <v/>
      </c>
    </row>
    <row r="641">
      <c r="A641" s="71" t="n"/>
      <c r="B641" s="8" t="n"/>
      <c r="C641" s="8" t="n"/>
      <c r="D641" s="8" t="n"/>
      <c r="E641" s="14" t="n"/>
      <c r="F641" s="8" t="n"/>
      <c r="G641" s="72">
        <f>IF(A641&lt;&gt;"",TEXT(A641,"YYYY-MM"),"")</f>
        <v/>
      </c>
    </row>
    <row r="642">
      <c r="A642" s="71" t="n"/>
      <c r="B642" s="8" t="n"/>
      <c r="C642" s="8" t="n"/>
      <c r="D642" s="8" t="n"/>
      <c r="E642" s="14" t="n"/>
      <c r="F642" s="8" t="n"/>
      <c r="G642" s="72">
        <f>IF(A642&lt;&gt;"",TEXT(A642,"YYYY-MM"),"")</f>
        <v/>
      </c>
    </row>
    <row r="643">
      <c r="A643" s="71" t="n"/>
      <c r="B643" s="8" t="n"/>
      <c r="C643" s="8" t="n"/>
      <c r="D643" s="8" t="n"/>
      <c r="E643" s="14" t="n"/>
      <c r="F643" s="8" t="n"/>
      <c r="G643" s="72">
        <f>IF(A643&lt;&gt;"",TEXT(A643,"YYYY-MM"),"")</f>
        <v/>
      </c>
    </row>
    <row r="644">
      <c r="A644" s="71" t="n"/>
      <c r="B644" s="8" t="n"/>
      <c r="C644" s="8" t="n"/>
      <c r="D644" s="8" t="n"/>
      <c r="E644" s="14" t="n"/>
      <c r="F644" s="8" t="n"/>
      <c r="G644" s="72">
        <f>IF(A644&lt;&gt;"",TEXT(A644,"YYYY-MM"),"")</f>
        <v/>
      </c>
    </row>
    <row r="645">
      <c r="A645" s="71" t="n"/>
      <c r="B645" s="8" t="n"/>
      <c r="C645" s="8" t="n"/>
      <c r="D645" s="8" t="n"/>
      <c r="E645" s="14" t="n"/>
      <c r="F645" s="8" t="n"/>
      <c r="G645" s="72">
        <f>IF(A645&lt;&gt;"",TEXT(A645,"YYYY-MM"),"")</f>
        <v/>
      </c>
    </row>
    <row r="646">
      <c r="A646" s="71" t="n"/>
      <c r="B646" s="8" t="n"/>
      <c r="C646" s="8" t="n"/>
      <c r="D646" s="8" t="n"/>
      <c r="E646" s="14" t="n"/>
      <c r="F646" s="8" t="n"/>
      <c r="G646" s="72">
        <f>IF(A646&lt;&gt;"",TEXT(A646,"YYYY-MM"),"")</f>
        <v/>
      </c>
    </row>
    <row r="647">
      <c r="A647" s="71" t="n"/>
      <c r="B647" s="8" t="n"/>
      <c r="C647" s="8" t="n"/>
      <c r="D647" s="8" t="n"/>
      <c r="E647" s="14" t="n"/>
      <c r="F647" s="8" t="n"/>
      <c r="G647" s="72">
        <f>IF(A647&lt;&gt;"",TEXT(A647,"YYYY-MM"),"")</f>
        <v/>
      </c>
    </row>
    <row r="648">
      <c r="A648" s="71" t="n"/>
      <c r="B648" s="8" t="n"/>
      <c r="C648" s="8" t="n"/>
      <c r="D648" s="8" t="n"/>
      <c r="E648" s="14" t="n"/>
      <c r="F648" s="8" t="n"/>
      <c r="G648" s="72">
        <f>IF(A648&lt;&gt;"",TEXT(A648,"YYYY-MM"),"")</f>
        <v/>
      </c>
    </row>
    <row r="649">
      <c r="A649" s="71" t="n"/>
      <c r="B649" s="8" t="n"/>
      <c r="C649" s="8" t="n"/>
      <c r="D649" s="8" t="n"/>
      <c r="E649" s="14" t="n"/>
      <c r="F649" s="8" t="n"/>
      <c r="G649" s="72">
        <f>IF(A649&lt;&gt;"",TEXT(A649,"YYYY-MM"),"")</f>
        <v/>
      </c>
    </row>
    <row r="650">
      <c r="A650" s="71" t="n"/>
      <c r="B650" s="8" t="n"/>
      <c r="C650" s="8" t="n"/>
      <c r="D650" s="8" t="n"/>
      <c r="E650" s="14" t="n"/>
      <c r="F650" s="8" t="n"/>
      <c r="G650" s="72">
        <f>IF(A650&lt;&gt;"",TEXT(A650,"YYYY-MM"),"")</f>
        <v/>
      </c>
    </row>
    <row r="651">
      <c r="A651" s="71" t="n"/>
      <c r="B651" s="8" t="n"/>
      <c r="C651" s="8" t="n"/>
      <c r="D651" s="8" t="n"/>
      <c r="E651" s="14" t="n"/>
      <c r="F651" s="8" t="n"/>
      <c r="G651" s="72">
        <f>IF(A651&lt;&gt;"",TEXT(A651,"YYYY-MM"),"")</f>
        <v/>
      </c>
    </row>
    <row r="652">
      <c r="A652" s="71" t="n"/>
      <c r="B652" s="8" t="n"/>
      <c r="C652" s="8" t="n"/>
      <c r="D652" s="8" t="n"/>
      <c r="E652" s="14" t="n"/>
      <c r="F652" s="8" t="n"/>
      <c r="G652" s="72">
        <f>IF(A652&lt;&gt;"",TEXT(A652,"YYYY-MM"),"")</f>
        <v/>
      </c>
    </row>
    <row r="653">
      <c r="A653" s="71" t="n"/>
      <c r="B653" s="8" t="n"/>
      <c r="C653" s="8" t="n"/>
      <c r="D653" s="8" t="n"/>
      <c r="E653" s="14" t="n"/>
      <c r="F653" s="8" t="n"/>
      <c r="G653" s="72">
        <f>IF(A653&lt;&gt;"",TEXT(A653,"YYYY-MM"),"")</f>
        <v/>
      </c>
    </row>
    <row r="654">
      <c r="A654" s="71" t="n"/>
      <c r="B654" s="8" t="n"/>
      <c r="C654" s="8" t="n"/>
      <c r="D654" s="8" t="n"/>
      <c r="E654" s="14" t="n"/>
      <c r="F654" s="8" t="n"/>
      <c r="G654" s="72">
        <f>IF(A654&lt;&gt;"",TEXT(A654,"YYYY-MM"),"")</f>
        <v/>
      </c>
    </row>
    <row r="655">
      <c r="A655" s="71" t="n"/>
      <c r="B655" s="8" t="n"/>
      <c r="C655" s="8" t="n"/>
      <c r="D655" s="8" t="n"/>
      <c r="E655" s="14" t="n"/>
      <c r="F655" s="8" t="n"/>
      <c r="G655" s="72">
        <f>IF(A655&lt;&gt;"",TEXT(A655,"YYYY-MM"),"")</f>
        <v/>
      </c>
    </row>
    <row r="656">
      <c r="A656" s="71" t="n"/>
      <c r="B656" s="8" t="n"/>
      <c r="C656" s="8" t="n"/>
      <c r="D656" s="8" t="n"/>
      <c r="E656" s="14" t="n"/>
      <c r="F656" s="8" t="n"/>
      <c r="G656" s="72">
        <f>IF(A656&lt;&gt;"",TEXT(A656,"YYYY-MM"),"")</f>
        <v/>
      </c>
    </row>
    <row r="657">
      <c r="A657" s="71" t="n"/>
      <c r="B657" s="8" t="n"/>
      <c r="C657" s="8" t="n"/>
      <c r="D657" s="8" t="n"/>
      <c r="E657" s="14" t="n"/>
      <c r="F657" s="8" t="n"/>
      <c r="G657" s="72">
        <f>IF(A657&lt;&gt;"",TEXT(A657,"YYYY-MM"),"")</f>
        <v/>
      </c>
    </row>
    <row r="658">
      <c r="A658" s="71" t="n"/>
      <c r="B658" s="8" t="n"/>
      <c r="C658" s="8" t="n"/>
      <c r="D658" s="8" t="n"/>
      <c r="E658" s="14" t="n"/>
      <c r="F658" s="8" t="n"/>
      <c r="G658" s="72">
        <f>IF(A658&lt;&gt;"",TEXT(A658,"YYYY-MM"),"")</f>
        <v/>
      </c>
    </row>
    <row r="659">
      <c r="A659" s="71" t="n"/>
      <c r="B659" s="8" t="n"/>
      <c r="C659" s="8" t="n"/>
      <c r="D659" s="8" t="n"/>
      <c r="E659" s="14" t="n"/>
      <c r="F659" s="8" t="n"/>
      <c r="G659" s="72">
        <f>IF(A659&lt;&gt;"",TEXT(A659,"YYYY-MM"),"")</f>
        <v/>
      </c>
    </row>
    <row r="660">
      <c r="A660" s="71" t="n"/>
      <c r="B660" s="8" t="n"/>
      <c r="C660" s="8" t="n"/>
      <c r="D660" s="8" t="n"/>
      <c r="E660" s="14" t="n"/>
      <c r="F660" s="8" t="n"/>
      <c r="G660" s="72">
        <f>IF(A660&lt;&gt;"",TEXT(A660,"YYYY-MM"),"")</f>
        <v/>
      </c>
    </row>
    <row r="661">
      <c r="A661" s="71" t="n"/>
      <c r="B661" s="8" t="n"/>
      <c r="C661" s="8" t="n"/>
      <c r="D661" s="8" t="n"/>
      <c r="E661" s="14" t="n"/>
      <c r="F661" s="8" t="n"/>
      <c r="G661" s="72">
        <f>IF(A661&lt;&gt;"",TEXT(A661,"YYYY-MM"),"")</f>
        <v/>
      </c>
    </row>
    <row r="662">
      <c r="A662" s="71" t="n"/>
      <c r="B662" s="8" t="n"/>
      <c r="C662" s="8" t="n"/>
      <c r="D662" s="8" t="n"/>
      <c r="E662" s="14" t="n"/>
      <c r="F662" s="8" t="n"/>
      <c r="G662" s="72">
        <f>IF(A662&lt;&gt;"",TEXT(A662,"YYYY-MM"),"")</f>
        <v/>
      </c>
    </row>
    <row r="663">
      <c r="A663" s="71" t="n"/>
      <c r="B663" s="8" t="n"/>
      <c r="C663" s="8" t="n"/>
      <c r="D663" s="8" t="n"/>
      <c r="E663" s="14" t="n"/>
      <c r="F663" s="8" t="n"/>
      <c r="G663" s="72">
        <f>IF(A663&lt;&gt;"",TEXT(A663,"YYYY-MM"),"")</f>
        <v/>
      </c>
    </row>
    <row r="664">
      <c r="A664" s="71" t="n"/>
      <c r="B664" s="8" t="n"/>
      <c r="C664" s="8" t="n"/>
      <c r="D664" s="8" t="n"/>
      <c r="E664" s="14" t="n"/>
      <c r="F664" s="8" t="n"/>
      <c r="G664" s="72">
        <f>IF(A664&lt;&gt;"",TEXT(A664,"YYYY-MM"),"")</f>
        <v/>
      </c>
    </row>
    <row r="665">
      <c r="A665" s="71" t="n"/>
      <c r="B665" s="8" t="n"/>
      <c r="C665" s="8" t="n"/>
      <c r="D665" s="8" t="n"/>
      <c r="E665" s="14" t="n"/>
      <c r="F665" s="8" t="n"/>
      <c r="G665" s="72">
        <f>IF(A665&lt;&gt;"",TEXT(A665,"YYYY-MM"),"")</f>
        <v/>
      </c>
    </row>
    <row r="666">
      <c r="A666" s="71" t="n"/>
      <c r="B666" s="8" t="n"/>
      <c r="C666" s="8" t="n"/>
      <c r="D666" s="8" t="n"/>
      <c r="E666" s="14" t="n"/>
      <c r="F666" s="8" t="n"/>
      <c r="G666" s="72">
        <f>IF(A666&lt;&gt;"",TEXT(A666,"YYYY-MM"),"")</f>
        <v/>
      </c>
    </row>
    <row r="667">
      <c r="A667" s="71" t="n"/>
      <c r="B667" s="8" t="n"/>
      <c r="C667" s="8" t="n"/>
      <c r="D667" s="8" t="n"/>
      <c r="E667" s="14" t="n"/>
      <c r="F667" s="8" t="n"/>
      <c r="G667" s="72">
        <f>IF(A667&lt;&gt;"",TEXT(A667,"YYYY-MM"),"")</f>
        <v/>
      </c>
    </row>
    <row r="668">
      <c r="A668" s="71" t="n"/>
      <c r="B668" s="8" t="n"/>
      <c r="C668" s="8" t="n"/>
      <c r="D668" s="8" t="n"/>
      <c r="E668" s="14" t="n"/>
      <c r="F668" s="8" t="n"/>
      <c r="G668" s="72">
        <f>IF(A668&lt;&gt;"",TEXT(A668,"YYYY-MM"),"")</f>
        <v/>
      </c>
    </row>
    <row r="669">
      <c r="A669" s="71" t="n"/>
      <c r="B669" s="8" t="n"/>
      <c r="C669" s="8" t="n"/>
      <c r="D669" s="8" t="n"/>
      <c r="E669" s="14" t="n"/>
      <c r="F669" s="8" t="n"/>
      <c r="G669" s="72">
        <f>IF(A669&lt;&gt;"",TEXT(A669,"YYYY-MM"),"")</f>
        <v/>
      </c>
    </row>
    <row r="670">
      <c r="A670" s="71" t="n"/>
      <c r="B670" s="8" t="n"/>
      <c r="C670" s="8" t="n"/>
      <c r="D670" s="8" t="n"/>
      <c r="E670" s="14" t="n"/>
      <c r="F670" s="8" t="n"/>
      <c r="G670" s="72">
        <f>IF(A670&lt;&gt;"",TEXT(A670,"YYYY-MM"),"")</f>
        <v/>
      </c>
    </row>
    <row r="671">
      <c r="A671" s="71" t="n"/>
      <c r="B671" s="8" t="n"/>
      <c r="C671" s="8" t="n"/>
      <c r="D671" s="8" t="n"/>
      <c r="E671" s="14" t="n"/>
      <c r="F671" s="8" t="n"/>
      <c r="G671" s="72">
        <f>IF(A671&lt;&gt;"",TEXT(A671,"YYYY-MM"),"")</f>
        <v/>
      </c>
    </row>
    <row r="672">
      <c r="A672" s="71" t="n"/>
      <c r="B672" s="8" t="n"/>
      <c r="C672" s="8" t="n"/>
      <c r="D672" s="8" t="n"/>
      <c r="E672" s="14" t="n"/>
      <c r="F672" s="8" t="n"/>
      <c r="G672" s="72">
        <f>IF(A672&lt;&gt;"",TEXT(A672,"YYYY-MM"),"")</f>
        <v/>
      </c>
    </row>
    <row r="673">
      <c r="A673" s="71" t="n"/>
      <c r="B673" s="8" t="n"/>
      <c r="C673" s="8" t="n"/>
      <c r="D673" s="8" t="n"/>
      <c r="E673" s="14" t="n"/>
      <c r="F673" s="8" t="n"/>
      <c r="G673" s="72">
        <f>IF(A673&lt;&gt;"",TEXT(A673,"YYYY-MM"),"")</f>
        <v/>
      </c>
    </row>
    <row r="674">
      <c r="A674" s="71" t="n"/>
      <c r="B674" s="8" t="n"/>
      <c r="C674" s="8" t="n"/>
      <c r="D674" s="8" t="n"/>
      <c r="E674" s="14" t="n"/>
      <c r="F674" s="8" t="n"/>
      <c r="G674" s="72">
        <f>IF(A674&lt;&gt;"",TEXT(A674,"YYYY-MM"),"")</f>
        <v/>
      </c>
    </row>
    <row r="675">
      <c r="A675" s="71" t="n"/>
      <c r="B675" s="8" t="n"/>
      <c r="C675" s="8" t="n"/>
      <c r="D675" s="8" t="n"/>
      <c r="E675" s="14" t="n"/>
      <c r="F675" s="8" t="n"/>
      <c r="G675" s="72">
        <f>IF(A675&lt;&gt;"",TEXT(A675,"YYYY-MM"),"")</f>
        <v/>
      </c>
    </row>
    <row r="676">
      <c r="A676" s="71" t="n"/>
      <c r="B676" s="8" t="n"/>
      <c r="C676" s="8" t="n"/>
      <c r="D676" s="8" t="n"/>
      <c r="E676" s="14" t="n"/>
      <c r="F676" s="8" t="n"/>
      <c r="G676" s="72">
        <f>IF(A676&lt;&gt;"",TEXT(A676,"YYYY-MM"),"")</f>
        <v/>
      </c>
    </row>
    <row r="677">
      <c r="A677" s="71" t="n"/>
      <c r="B677" s="8" t="n"/>
      <c r="C677" s="8" t="n"/>
      <c r="D677" s="8" t="n"/>
      <c r="E677" s="14" t="n"/>
      <c r="F677" s="8" t="n"/>
      <c r="G677" s="72">
        <f>IF(A677&lt;&gt;"",TEXT(A677,"YYYY-MM"),"")</f>
        <v/>
      </c>
    </row>
    <row r="678">
      <c r="A678" s="71" t="n"/>
      <c r="B678" s="8" t="n"/>
      <c r="C678" s="8" t="n"/>
      <c r="D678" s="8" t="n"/>
      <c r="E678" s="14" t="n"/>
      <c r="F678" s="8" t="n"/>
      <c r="G678" s="72">
        <f>IF(A678&lt;&gt;"",TEXT(A678,"YYYY-MM"),"")</f>
        <v/>
      </c>
    </row>
    <row r="679">
      <c r="A679" s="71" t="n"/>
      <c r="B679" s="8" t="n"/>
      <c r="C679" s="8" t="n"/>
      <c r="D679" s="8" t="n"/>
      <c r="E679" s="14" t="n"/>
      <c r="F679" s="8" t="n"/>
      <c r="G679" s="72">
        <f>IF(A679&lt;&gt;"",TEXT(A679,"YYYY-MM"),"")</f>
        <v/>
      </c>
    </row>
    <row r="680">
      <c r="A680" s="71" t="n"/>
      <c r="B680" s="8" t="n"/>
      <c r="C680" s="8" t="n"/>
      <c r="D680" s="8" t="n"/>
      <c r="E680" s="14" t="n"/>
      <c r="F680" s="8" t="n"/>
      <c r="G680" s="72">
        <f>IF(A680&lt;&gt;"",TEXT(A680,"YYYY-MM"),"")</f>
        <v/>
      </c>
    </row>
    <row r="681">
      <c r="A681" s="71" t="n"/>
      <c r="B681" s="8" t="n"/>
      <c r="C681" s="8" t="n"/>
      <c r="D681" s="8" t="n"/>
      <c r="E681" s="14" t="n"/>
      <c r="F681" s="8" t="n"/>
      <c r="G681" s="72">
        <f>IF(A681&lt;&gt;"",TEXT(A681,"YYYY-MM"),"")</f>
        <v/>
      </c>
    </row>
    <row r="682">
      <c r="A682" s="71" t="n"/>
      <c r="B682" s="8" t="n"/>
      <c r="C682" s="8" t="n"/>
      <c r="D682" s="8" t="n"/>
      <c r="E682" s="14" t="n"/>
      <c r="F682" s="8" t="n"/>
      <c r="G682" s="72">
        <f>IF(A682&lt;&gt;"",TEXT(A682,"YYYY-MM"),"")</f>
        <v/>
      </c>
    </row>
    <row r="683">
      <c r="A683" s="71" t="n"/>
      <c r="B683" s="8" t="n"/>
      <c r="C683" s="8" t="n"/>
      <c r="D683" s="8" t="n"/>
      <c r="E683" s="14" t="n"/>
      <c r="F683" s="8" t="n"/>
      <c r="G683" s="72">
        <f>IF(A683&lt;&gt;"",TEXT(A683,"YYYY-MM"),"")</f>
        <v/>
      </c>
    </row>
    <row r="684">
      <c r="A684" s="71" t="n"/>
      <c r="B684" s="8" t="n"/>
      <c r="C684" s="8" t="n"/>
      <c r="D684" s="8" t="n"/>
      <c r="E684" s="14" t="n"/>
      <c r="F684" s="8" t="n"/>
      <c r="G684" s="72">
        <f>IF(A684&lt;&gt;"",TEXT(A684,"YYYY-MM"),"")</f>
        <v/>
      </c>
    </row>
    <row r="685">
      <c r="A685" s="71" t="n"/>
      <c r="B685" s="8" t="n"/>
      <c r="C685" s="8" t="n"/>
      <c r="D685" s="8" t="n"/>
      <c r="E685" s="14" t="n"/>
      <c r="F685" s="8" t="n"/>
      <c r="G685" s="72">
        <f>IF(A685&lt;&gt;"",TEXT(A685,"YYYY-MM"),"")</f>
        <v/>
      </c>
    </row>
    <row r="686">
      <c r="A686" s="71" t="n"/>
      <c r="B686" s="8" t="n"/>
      <c r="C686" s="8" t="n"/>
      <c r="D686" s="8" t="n"/>
      <c r="E686" s="14" t="n"/>
      <c r="F686" s="8" t="n"/>
      <c r="G686" s="72">
        <f>IF(A686&lt;&gt;"",TEXT(A686,"YYYY-MM"),"")</f>
        <v/>
      </c>
    </row>
    <row r="687">
      <c r="A687" s="71" t="n"/>
      <c r="B687" s="8" t="n"/>
      <c r="C687" s="8" t="n"/>
      <c r="D687" s="8" t="n"/>
      <c r="E687" s="14" t="n"/>
      <c r="F687" s="8" t="n"/>
      <c r="G687" s="72">
        <f>IF(A687&lt;&gt;"",TEXT(A687,"YYYY-MM"),"")</f>
        <v/>
      </c>
    </row>
    <row r="688">
      <c r="A688" s="71" t="n"/>
      <c r="B688" s="8" t="n"/>
      <c r="C688" s="8" t="n"/>
      <c r="D688" s="8" t="n"/>
      <c r="E688" s="14" t="n"/>
      <c r="F688" s="8" t="n"/>
      <c r="G688" s="72">
        <f>IF(A688&lt;&gt;"",TEXT(A688,"YYYY-MM"),"")</f>
        <v/>
      </c>
    </row>
    <row r="689">
      <c r="A689" s="71" t="n"/>
      <c r="B689" s="8" t="n"/>
      <c r="C689" s="8" t="n"/>
      <c r="D689" s="8" t="n"/>
      <c r="E689" s="14" t="n"/>
      <c r="F689" s="8" t="n"/>
      <c r="G689" s="72">
        <f>IF(A689&lt;&gt;"",TEXT(A689,"YYYY-MM"),"")</f>
        <v/>
      </c>
    </row>
    <row r="690">
      <c r="A690" s="71" t="n"/>
      <c r="B690" s="8" t="n"/>
      <c r="C690" s="8" t="n"/>
      <c r="D690" s="8" t="n"/>
      <c r="E690" s="14" t="n"/>
      <c r="F690" s="8" t="n"/>
      <c r="G690" s="72">
        <f>IF(A690&lt;&gt;"",TEXT(A690,"YYYY-MM"),"")</f>
        <v/>
      </c>
    </row>
    <row r="691">
      <c r="A691" s="71" t="n"/>
      <c r="B691" s="8" t="n"/>
      <c r="C691" s="8" t="n"/>
      <c r="D691" s="8" t="n"/>
      <c r="E691" s="14" t="n"/>
      <c r="F691" s="8" t="n"/>
      <c r="G691" s="72">
        <f>IF(A691&lt;&gt;"",TEXT(A691,"YYYY-MM"),"")</f>
        <v/>
      </c>
    </row>
    <row r="692">
      <c r="A692" s="71" t="n"/>
      <c r="B692" s="8" t="n"/>
      <c r="C692" s="8" t="n"/>
      <c r="D692" s="8" t="n"/>
      <c r="E692" s="14" t="n"/>
      <c r="F692" s="8" t="n"/>
      <c r="G692" s="72">
        <f>IF(A692&lt;&gt;"",TEXT(A692,"YYYY-MM"),"")</f>
        <v/>
      </c>
    </row>
    <row r="693">
      <c r="A693" s="71" t="n"/>
      <c r="B693" s="8" t="n"/>
      <c r="C693" s="8" t="n"/>
      <c r="D693" s="8" t="n"/>
      <c r="E693" s="14" t="n"/>
      <c r="F693" s="8" t="n"/>
      <c r="G693" s="72">
        <f>IF(A693&lt;&gt;"",TEXT(A693,"YYYY-MM"),"")</f>
        <v/>
      </c>
    </row>
    <row r="694">
      <c r="A694" s="71" t="n"/>
      <c r="B694" s="8" t="n"/>
      <c r="C694" s="8" t="n"/>
      <c r="D694" s="8" t="n"/>
      <c r="E694" s="14" t="n"/>
      <c r="F694" s="8" t="n"/>
      <c r="G694" s="72">
        <f>IF(A694&lt;&gt;"",TEXT(A694,"YYYY-MM"),"")</f>
        <v/>
      </c>
    </row>
    <row r="695">
      <c r="A695" s="71" t="n"/>
      <c r="B695" s="8" t="n"/>
      <c r="C695" s="8" t="n"/>
      <c r="D695" s="8" t="n"/>
      <c r="E695" s="14" t="n"/>
      <c r="F695" s="8" t="n"/>
      <c r="G695" s="72">
        <f>IF(A695&lt;&gt;"",TEXT(A695,"YYYY-MM"),"")</f>
        <v/>
      </c>
    </row>
    <row r="696">
      <c r="A696" s="71" t="n"/>
      <c r="B696" s="8" t="n"/>
      <c r="C696" s="8" t="n"/>
      <c r="D696" s="8" t="n"/>
      <c r="E696" s="14" t="n"/>
      <c r="F696" s="8" t="n"/>
      <c r="G696" s="72">
        <f>IF(A696&lt;&gt;"",TEXT(A696,"YYYY-MM"),"")</f>
        <v/>
      </c>
    </row>
    <row r="697">
      <c r="A697" s="71" t="n"/>
      <c r="B697" s="8" t="n"/>
      <c r="C697" s="8" t="n"/>
      <c r="D697" s="8" t="n"/>
      <c r="E697" s="14" t="n"/>
      <c r="F697" s="8" t="n"/>
      <c r="G697" s="72">
        <f>IF(A697&lt;&gt;"",TEXT(A697,"YYYY-MM"),"")</f>
        <v/>
      </c>
    </row>
    <row r="698">
      <c r="A698" s="71" t="n"/>
      <c r="B698" s="8" t="n"/>
      <c r="C698" s="8" t="n"/>
      <c r="D698" s="8" t="n"/>
      <c r="E698" s="14" t="n"/>
      <c r="F698" s="8" t="n"/>
      <c r="G698" s="72">
        <f>IF(A698&lt;&gt;"",TEXT(A698,"YYYY-MM"),"")</f>
        <v/>
      </c>
    </row>
    <row r="699">
      <c r="A699" s="71" t="n"/>
      <c r="B699" s="8" t="n"/>
      <c r="C699" s="8" t="n"/>
      <c r="D699" s="8" t="n"/>
      <c r="E699" s="14" t="n"/>
      <c r="F699" s="8" t="n"/>
      <c r="G699" s="72">
        <f>IF(A699&lt;&gt;"",TEXT(A699,"YYYY-MM"),"")</f>
        <v/>
      </c>
    </row>
    <row r="700">
      <c r="A700" s="71" t="n"/>
      <c r="B700" s="8" t="n"/>
      <c r="C700" s="8" t="n"/>
      <c r="D700" s="8" t="n"/>
      <c r="E700" s="14" t="n"/>
      <c r="F700" s="8" t="n"/>
      <c r="G700" s="72">
        <f>IF(A700&lt;&gt;"",TEXT(A700,"YYYY-MM"),"")</f>
        <v/>
      </c>
    </row>
    <row r="701">
      <c r="A701" s="71" t="n"/>
      <c r="B701" s="8" t="n"/>
      <c r="C701" s="8" t="n"/>
      <c r="D701" s="8" t="n"/>
      <c r="E701" s="14" t="n"/>
      <c r="F701" s="8" t="n"/>
      <c r="G701" s="72">
        <f>IF(A701&lt;&gt;"",TEXT(A701,"YYYY-MM"),"")</f>
        <v/>
      </c>
    </row>
    <row r="702">
      <c r="A702" s="71" t="n"/>
      <c r="B702" s="8" t="n"/>
      <c r="C702" s="8" t="n"/>
      <c r="D702" s="8" t="n"/>
      <c r="E702" s="14" t="n"/>
      <c r="F702" s="8" t="n"/>
      <c r="G702" s="72">
        <f>IF(A702&lt;&gt;"",TEXT(A702,"YYYY-MM"),"")</f>
        <v/>
      </c>
    </row>
    <row r="703">
      <c r="A703" s="71" t="n"/>
      <c r="B703" s="8" t="n"/>
      <c r="C703" s="8" t="n"/>
      <c r="D703" s="8" t="n"/>
      <c r="E703" s="14" t="n"/>
      <c r="F703" s="8" t="n"/>
      <c r="G703" s="72">
        <f>IF(A703&lt;&gt;"",TEXT(A703,"YYYY-MM"),"")</f>
        <v/>
      </c>
    </row>
    <row r="704">
      <c r="A704" s="71" t="n"/>
      <c r="B704" s="8" t="n"/>
      <c r="C704" s="8" t="n"/>
      <c r="D704" s="8" t="n"/>
      <c r="E704" s="14" t="n"/>
      <c r="F704" s="8" t="n"/>
      <c r="G704" s="72">
        <f>IF(A704&lt;&gt;"",TEXT(A704,"YYYY-MM"),"")</f>
        <v/>
      </c>
    </row>
    <row r="705">
      <c r="A705" s="71" t="n"/>
      <c r="B705" s="8" t="n"/>
      <c r="C705" s="8" t="n"/>
      <c r="D705" s="8" t="n"/>
      <c r="E705" s="14" t="n"/>
      <c r="F705" s="8" t="n"/>
      <c r="G705" s="72">
        <f>IF(A705&lt;&gt;"",TEXT(A705,"YYYY-MM"),"")</f>
        <v/>
      </c>
    </row>
    <row r="706">
      <c r="A706" s="71" t="n"/>
      <c r="B706" s="8" t="n"/>
      <c r="C706" s="8" t="n"/>
      <c r="D706" s="8" t="n"/>
      <c r="E706" s="14" t="n"/>
      <c r="F706" s="8" t="n"/>
      <c r="G706" s="72">
        <f>IF(A706&lt;&gt;"",TEXT(A706,"YYYY-MM"),"")</f>
        <v/>
      </c>
    </row>
    <row r="707">
      <c r="A707" s="71" t="n"/>
      <c r="B707" s="8" t="n"/>
      <c r="C707" s="8" t="n"/>
      <c r="D707" s="8" t="n"/>
      <c r="E707" s="14" t="n"/>
      <c r="F707" s="8" t="n"/>
      <c r="G707" s="72">
        <f>IF(A707&lt;&gt;"",TEXT(A707,"YYYY-MM"),"")</f>
        <v/>
      </c>
    </row>
    <row r="708">
      <c r="A708" s="71" t="n"/>
      <c r="B708" s="8" t="n"/>
      <c r="C708" s="8" t="n"/>
      <c r="D708" s="8" t="n"/>
      <c r="E708" s="14" t="n"/>
      <c r="F708" s="8" t="n"/>
      <c r="G708" s="72">
        <f>IF(A708&lt;&gt;"",TEXT(A708,"YYYY-MM"),"")</f>
        <v/>
      </c>
    </row>
    <row r="709">
      <c r="A709" s="71" t="n"/>
      <c r="B709" s="8" t="n"/>
      <c r="C709" s="8" t="n"/>
      <c r="D709" s="8" t="n"/>
      <c r="E709" s="14" t="n"/>
      <c r="F709" s="8" t="n"/>
      <c r="G709" s="72">
        <f>IF(A709&lt;&gt;"",TEXT(A709,"YYYY-MM"),"")</f>
        <v/>
      </c>
    </row>
    <row r="710">
      <c r="A710" s="71" t="n"/>
      <c r="B710" s="8" t="n"/>
      <c r="C710" s="8" t="n"/>
      <c r="D710" s="8" t="n"/>
      <c r="E710" s="14" t="n"/>
      <c r="F710" s="8" t="n"/>
      <c r="G710" s="72">
        <f>IF(A710&lt;&gt;"",TEXT(A710,"YYYY-MM"),"")</f>
        <v/>
      </c>
    </row>
    <row r="711">
      <c r="A711" s="71" t="n"/>
      <c r="B711" s="8" t="n"/>
      <c r="C711" s="8" t="n"/>
      <c r="D711" s="8" t="n"/>
      <c r="E711" s="14" t="n"/>
      <c r="F711" s="8" t="n"/>
      <c r="G711" s="72">
        <f>IF(A711&lt;&gt;"",TEXT(A711,"YYYY-MM"),"")</f>
        <v/>
      </c>
    </row>
    <row r="712">
      <c r="A712" s="71" t="n"/>
      <c r="B712" s="8" t="n"/>
      <c r="C712" s="8" t="n"/>
      <c r="D712" s="8" t="n"/>
      <c r="E712" s="14" t="n"/>
      <c r="F712" s="8" t="n"/>
      <c r="G712" s="72">
        <f>IF(A712&lt;&gt;"",TEXT(A712,"YYYY-MM"),"")</f>
        <v/>
      </c>
    </row>
    <row r="713">
      <c r="A713" s="71" t="n"/>
      <c r="B713" s="8" t="n"/>
      <c r="C713" s="8" t="n"/>
      <c r="D713" s="8" t="n"/>
      <c r="E713" s="14" t="n"/>
      <c r="F713" s="8" t="n"/>
      <c r="G713" s="72">
        <f>IF(A713&lt;&gt;"",TEXT(A713,"YYYY-MM"),"")</f>
        <v/>
      </c>
    </row>
    <row r="714">
      <c r="A714" s="71" t="n"/>
      <c r="B714" s="8" t="n"/>
      <c r="C714" s="8" t="n"/>
      <c r="D714" s="8" t="n"/>
      <c r="E714" s="14" t="n"/>
      <c r="F714" s="8" t="n"/>
      <c r="G714" s="72">
        <f>IF(A714&lt;&gt;"",TEXT(A714,"YYYY-MM"),"")</f>
        <v/>
      </c>
    </row>
    <row r="715">
      <c r="A715" s="71" t="n"/>
      <c r="B715" s="8" t="n"/>
      <c r="C715" s="8" t="n"/>
      <c r="D715" s="8" t="n"/>
      <c r="E715" s="14" t="n"/>
      <c r="F715" s="8" t="n"/>
      <c r="G715" s="72">
        <f>IF(A715&lt;&gt;"",TEXT(A715,"YYYY-MM"),"")</f>
        <v/>
      </c>
    </row>
    <row r="716">
      <c r="A716" s="71" t="n"/>
      <c r="B716" s="8" t="n"/>
      <c r="C716" s="8" t="n"/>
      <c r="D716" s="8" t="n"/>
      <c r="E716" s="14" t="n"/>
      <c r="F716" s="8" t="n"/>
      <c r="G716" s="72">
        <f>IF(A716&lt;&gt;"",TEXT(A716,"YYYY-MM"),"")</f>
        <v/>
      </c>
    </row>
    <row r="717">
      <c r="A717" s="71" t="n"/>
      <c r="B717" s="8" t="n"/>
      <c r="C717" s="8" t="n"/>
      <c r="D717" s="8" t="n"/>
      <c r="E717" s="14" t="n"/>
      <c r="F717" s="8" t="n"/>
      <c r="G717" s="72">
        <f>IF(A717&lt;&gt;"",TEXT(A717,"YYYY-MM"),"")</f>
        <v/>
      </c>
    </row>
    <row r="718">
      <c r="A718" s="71" t="n"/>
      <c r="B718" s="8" t="n"/>
      <c r="C718" s="8" t="n"/>
      <c r="D718" s="8" t="n"/>
      <c r="E718" s="14" t="n"/>
      <c r="F718" s="8" t="n"/>
      <c r="G718" s="72">
        <f>IF(A718&lt;&gt;"",TEXT(A718,"YYYY-MM"),"")</f>
        <v/>
      </c>
    </row>
    <row r="719">
      <c r="A719" s="71" t="n"/>
      <c r="B719" s="8" t="n"/>
      <c r="C719" s="8" t="n"/>
      <c r="D719" s="8" t="n"/>
      <c r="E719" s="14" t="n"/>
      <c r="F719" s="8" t="n"/>
      <c r="G719" s="72">
        <f>IF(A719&lt;&gt;"",TEXT(A719,"YYYY-MM"),"")</f>
        <v/>
      </c>
    </row>
    <row r="720">
      <c r="A720" s="71" t="n"/>
      <c r="B720" s="8" t="n"/>
      <c r="C720" s="8" t="n"/>
      <c r="D720" s="8" t="n"/>
      <c r="E720" s="14" t="n"/>
      <c r="F720" s="8" t="n"/>
      <c r="G720" s="72">
        <f>IF(A720&lt;&gt;"",TEXT(A720,"YYYY-MM"),"")</f>
        <v/>
      </c>
    </row>
    <row r="721">
      <c r="A721" s="71" t="n"/>
      <c r="B721" s="8" t="n"/>
      <c r="C721" s="8" t="n"/>
      <c r="D721" s="8" t="n"/>
      <c r="E721" s="14" t="n"/>
      <c r="F721" s="8" t="n"/>
      <c r="G721" s="72">
        <f>IF(A721&lt;&gt;"",TEXT(A721,"YYYY-MM"),"")</f>
        <v/>
      </c>
    </row>
    <row r="722">
      <c r="A722" s="71" t="n"/>
      <c r="B722" s="8" t="n"/>
      <c r="C722" s="8" t="n"/>
      <c r="D722" s="8" t="n"/>
      <c r="E722" s="14" t="n"/>
      <c r="F722" s="8" t="n"/>
      <c r="G722" s="72">
        <f>IF(A722&lt;&gt;"",TEXT(A722,"YYYY-MM"),"")</f>
        <v/>
      </c>
    </row>
    <row r="723">
      <c r="A723" s="71" t="n"/>
      <c r="B723" s="8" t="n"/>
      <c r="C723" s="8" t="n"/>
      <c r="D723" s="8" t="n"/>
      <c r="E723" s="14" t="n"/>
      <c r="F723" s="8" t="n"/>
      <c r="G723" s="72">
        <f>IF(A723&lt;&gt;"",TEXT(A723,"YYYY-MM"),"")</f>
        <v/>
      </c>
    </row>
    <row r="724">
      <c r="A724" s="71" t="n"/>
      <c r="B724" s="8" t="n"/>
      <c r="C724" s="8" t="n"/>
      <c r="D724" s="8" t="n"/>
      <c r="E724" s="14" t="n"/>
      <c r="F724" s="8" t="n"/>
      <c r="G724" s="72">
        <f>IF(A724&lt;&gt;"",TEXT(A724,"YYYY-MM"),"")</f>
        <v/>
      </c>
    </row>
    <row r="725">
      <c r="A725" s="71" t="n"/>
      <c r="B725" s="8" t="n"/>
      <c r="C725" s="8" t="n"/>
      <c r="D725" s="8" t="n"/>
      <c r="E725" s="14" t="n"/>
      <c r="F725" s="8" t="n"/>
      <c r="G725" s="72">
        <f>IF(A725&lt;&gt;"",TEXT(A725,"YYYY-MM"),"")</f>
        <v/>
      </c>
    </row>
    <row r="726">
      <c r="A726" s="71" t="n"/>
      <c r="B726" s="8" t="n"/>
      <c r="C726" s="8" t="n"/>
      <c r="D726" s="8" t="n"/>
      <c r="E726" s="14" t="n"/>
      <c r="F726" s="8" t="n"/>
      <c r="G726" s="72">
        <f>IF(A726&lt;&gt;"",TEXT(A726,"YYYY-MM"),"")</f>
        <v/>
      </c>
    </row>
    <row r="727">
      <c r="A727" s="71" t="n"/>
      <c r="B727" s="8" t="n"/>
      <c r="C727" s="8" t="n"/>
      <c r="D727" s="8" t="n"/>
      <c r="E727" s="14" t="n"/>
      <c r="F727" s="8" t="n"/>
      <c r="G727" s="72">
        <f>IF(A727&lt;&gt;"",TEXT(A727,"YYYY-MM"),"")</f>
        <v/>
      </c>
    </row>
    <row r="728">
      <c r="A728" s="71" t="n"/>
      <c r="B728" s="8" t="n"/>
      <c r="C728" s="8" t="n"/>
      <c r="D728" s="8" t="n"/>
      <c r="E728" s="14" t="n"/>
      <c r="F728" s="8" t="n"/>
      <c r="G728" s="72">
        <f>IF(A728&lt;&gt;"",TEXT(A728,"YYYY-MM"),"")</f>
        <v/>
      </c>
    </row>
    <row r="729">
      <c r="A729" s="71" t="n"/>
      <c r="B729" s="8" t="n"/>
      <c r="C729" s="8" t="n"/>
      <c r="D729" s="8" t="n"/>
      <c r="E729" s="14" t="n"/>
      <c r="F729" s="8" t="n"/>
      <c r="G729" s="72">
        <f>IF(A729&lt;&gt;"",TEXT(A729,"YYYY-MM"),"")</f>
        <v/>
      </c>
    </row>
    <row r="730">
      <c r="A730" s="71" t="n"/>
      <c r="B730" s="8" t="n"/>
      <c r="C730" s="8" t="n"/>
      <c r="D730" s="8" t="n"/>
      <c r="E730" s="14" t="n"/>
      <c r="F730" s="8" t="n"/>
      <c r="G730" s="72">
        <f>IF(A730&lt;&gt;"",TEXT(A730,"YYYY-MM"),"")</f>
        <v/>
      </c>
    </row>
    <row r="731">
      <c r="A731" s="71" t="n"/>
      <c r="B731" s="8" t="n"/>
      <c r="C731" s="8" t="n"/>
      <c r="D731" s="8" t="n"/>
      <c r="E731" s="14" t="n"/>
      <c r="F731" s="8" t="n"/>
      <c r="G731" s="72">
        <f>IF(A731&lt;&gt;"",TEXT(A731,"YYYY-MM"),"")</f>
        <v/>
      </c>
    </row>
    <row r="732">
      <c r="A732" s="71" t="n"/>
      <c r="B732" s="8" t="n"/>
      <c r="C732" s="8" t="n"/>
      <c r="D732" s="8" t="n"/>
      <c r="E732" s="14" t="n"/>
      <c r="F732" s="8" t="n"/>
      <c r="G732" s="72">
        <f>IF(A732&lt;&gt;"",TEXT(A732,"YYYY-MM"),"")</f>
        <v/>
      </c>
    </row>
    <row r="733">
      <c r="A733" s="71" t="n"/>
      <c r="B733" s="8" t="n"/>
      <c r="C733" s="8" t="n"/>
      <c r="D733" s="8" t="n"/>
      <c r="E733" s="14" t="n"/>
      <c r="F733" s="8" t="n"/>
      <c r="G733" s="72">
        <f>IF(A733&lt;&gt;"",TEXT(A733,"YYYY-MM"),"")</f>
        <v/>
      </c>
    </row>
    <row r="734">
      <c r="A734" s="71" t="n"/>
      <c r="B734" s="8" t="n"/>
      <c r="C734" s="8" t="n"/>
      <c r="D734" s="8" t="n"/>
      <c r="E734" s="14" t="n"/>
      <c r="F734" s="8" t="n"/>
      <c r="G734" s="72">
        <f>IF(A734&lt;&gt;"",TEXT(A734,"YYYY-MM"),"")</f>
        <v/>
      </c>
    </row>
    <row r="735">
      <c r="A735" s="71" t="n"/>
      <c r="B735" s="8" t="n"/>
      <c r="C735" s="8" t="n"/>
      <c r="D735" s="8" t="n"/>
      <c r="E735" s="14" t="n"/>
      <c r="F735" s="8" t="n"/>
      <c r="G735" s="72">
        <f>IF(A735&lt;&gt;"",TEXT(A735,"YYYY-MM"),"")</f>
        <v/>
      </c>
    </row>
    <row r="736">
      <c r="A736" s="71" t="n"/>
      <c r="B736" s="8" t="n"/>
      <c r="C736" s="8" t="n"/>
      <c r="D736" s="8" t="n"/>
      <c r="E736" s="14" t="n"/>
      <c r="F736" s="8" t="n"/>
      <c r="G736" s="72">
        <f>IF(A736&lt;&gt;"",TEXT(A736,"YYYY-MM"),"")</f>
        <v/>
      </c>
    </row>
    <row r="737">
      <c r="A737" s="71" t="n"/>
      <c r="B737" s="8" t="n"/>
      <c r="C737" s="8" t="n"/>
      <c r="D737" s="8" t="n"/>
      <c r="E737" s="14" t="n"/>
      <c r="F737" s="8" t="n"/>
      <c r="G737" s="72">
        <f>IF(A737&lt;&gt;"",TEXT(A737,"YYYY-MM"),"")</f>
        <v/>
      </c>
    </row>
    <row r="738">
      <c r="A738" s="71" t="n"/>
      <c r="B738" s="8" t="n"/>
      <c r="C738" s="8" t="n"/>
      <c r="D738" s="8" t="n"/>
      <c r="E738" s="14" t="n"/>
      <c r="F738" s="8" t="n"/>
      <c r="G738" s="72">
        <f>IF(A738&lt;&gt;"",TEXT(A738,"YYYY-MM"),"")</f>
        <v/>
      </c>
    </row>
    <row r="739">
      <c r="A739" s="71" t="n"/>
      <c r="B739" s="8" t="n"/>
      <c r="C739" s="8" t="n"/>
      <c r="D739" s="8" t="n"/>
      <c r="E739" s="14" t="n"/>
      <c r="F739" s="8" t="n"/>
      <c r="G739" s="72">
        <f>IF(A739&lt;&gt;"",TEXT(A739,"YYYY-MM"),"")</f>
        <v/>
      </c>
    </row>
    <row r="740">
      <c r="A740" s="71" t="n"/>
      <c r="B740" s="8" t="n"/>
      <c r="C740" s="8" t="n"/>
      <c r="D740" s="8" t="n"/>
      <c r="E740" s="14" t="n"/>
      <c r="F740" s="8" t="n"/>
      <c r="G740" s="72">
        <f>IF(A740&lt;&gt;"",TEXT(A740,"YYYY-MM"),"")</f>
        <v/>
      </c>
    </row>
    <row r="741">
      <c r="A741" s="71" t="n"/>
      <c r="B741" s="8" t="n"/>
      <c r="C741" s="8" t="n"/>
      <c r="D741" s="8" t="n"/>
      <c r="E741" s="14" t="n"/>
      <c r="F741" s="8" t="n"/>
      <c r="G741" s="72">
        <f>IF(A741&lt;&gt;"",TEXT(A741,"YYYY-MM"),"")</f>
        <v/>
      </c>
    </row>
    <row r="742">
      <c r="A742" s="71" t="n"/>
      <c r="B742" s="8" t="n"/>
      <c r="C742" s="8" t="n"/>
      <c r="D742" s="8" t="n"/>
      <c r="E742" s="14" t="n"/>
      <c r="F742" s="8" t="n"/>
      <c r="G742" s="72">
        <f>IF(A742&lt;&gt;"",TEXT(A742,"YYYY-MM"),"")</f>
        <v/>
      </c>
    </row>
    <row r="743">
      <c r="A743" s="71" t="n"/>
      <c r="B743" s="8" t="n"/>
      <c r="C743" s="8" t="n"/>
      <c r="D743" s="8" t="n"/>
      <c r="E743" s="14" t="n"/>
      <c r="F743" s="8" t="n"/>
      <c r="G743" s="72">
        <f>IF(A743&lt;&gt;"",TEXT(A743,"YYYY-MM"),"")</f>
        <v/>
      </c>
    </row>
    <row r="744">
      <c r="A744" s="71" t="n"/>
      <c r="B744" s="8" t="n"/>
      <c r="C744" s="8" t="n"/>
      <c r="D744" s="8" t="n"/>
      <c r="E744" s="14" t="n"/>
      <c r="F744" s="8" t="n"/>
      <c r="G744" s="72">
        <f>IF(A744&lt;&gt;"",TEXT(A744,"YYYY-MM"),"")</f>
        <v/>
      </c>
    </row>
    <row r="745">
      <c r="A745" s="71" t="n"/>
      <c r="B745" s="8" t="n"/>
      <c r="C745" s="8" t="n"/>
      <c r="D745" s="8" t="n"/>
      <c r="E745" s="14" t="n"/>
      <c r="F745" s="8" t="n"/>
      <c r="G745" s="72">
        <f>IF(A745&lt;&gt;"",TEXT(A745,"YYYY-MM"),"")</f>
        <v/>
      </c>
    </row>
    <row r="746">
      <c r="A746" s="71" t="n"/>
      <c r="B746" s="8" t="n"/>
      <c r="C746" s="8" t="n"/>
      <c r="D746" s="8" t="n"/>
      <c r="E746" s="14" t="n"/>
      <c r="F746" s="8" t="n"/>
      <c r="G746" s="72">
        <f>IF(A746&lt;&gt;"",TEXT(A746,"YYYY-MM"),"")</f>
        <v/>
      </c>
    </row>
    <row r="747">
      <c r="A747" s="71" t="n"/>
      <c r="B747" s="8" t="n"/>
      <c r="C747" s="8" t="n"/>
      <c r="D747" s="8" t="n"/>
      <c r="E747" s="14" t="n"/>
      <c r="F747" s="8" t="n"/>
      <c r="G747" s="72">
        <f>IF(A747&lt;&gt;"",TEXT(A747,"YYYY-MM"),"")</f>
        <v/>
      </c>
    </row>
    <row r="748">
      <c r="A748" s="71" t="n"/>
      <c r="B748" s="8" t="n"/>
      <c r="C748" s="8" t="n"/>
      <c r="D748" s="8" t="n"/>
      <c r="E748" s="14" t="n"/>
      <c r="F748" s="8" t="n"/>
      <c r="G748" s="72">
        <f>IF(A748&lt;&gt;"",TEXT(A748,"YYYY-MM"),"")</f>
        <v/>
      </c>
    </row>
    <row r="749">
      <c r="A749" s="71" t="n"/>
      <c r="B749" s="8" t="n"/>
      <c r="C749" s="8" t="n"/>
      <c r="D749" s="8" t="n"/>
      <c r="E749" s="14" t="n"/>
      <c r="F749" s="8" t="n"/>
      <c r="G749" s="72">
        <f>IF(A749&lt;&gt;"",TEXT(A749,"YYYY-MM"),"")</f>
        <v/>
      </c>
    </row>
    <row r="750">
      <c r="A750" s="71" t="n"/>
      <c r="B750" s="8" t="n"/>
      <c r="C750" s="8" t="n"/>
      <c r="D750" s="8" t="n"/>
      <c r="E750" s="14" t="n"/>
      <c r="F750" s="8" t="n"/>
      <c r="G750" s="72">
        <f>IF(A750&lt;&gt;"",TEXT(A750,"YYYY-MM"),"")</f>
        <v/>
      </c>
    </row>
    <row r="751">
      <c r="A751" s="71" t="n"/>
      <c r="B751" s="8" t="n"/>
      <c r="C751" s="8" t="n"/>
      <c r="D751" s="8" t="n"/>
      <c r="E751" s="14" t="n"/>
      <c r="F751" s="8" t="n"/>
      <c r="G751" s="72">
        <f>IF(A751&lt;&gt;"",TEXT(A751,"YYYY-MM"),"")</f>
        <v/>
      </c>
    </row>
    <row r="752">
      <c r="A752" s="71" t="n"/>
      <c r="B752" s="8" t="n"/>
      <c r="C752" s="8" t="n"/>
      <c r="D752" s="8" t="n"/>
      <c r="E752" s="14" t="n"/>
      <c r="F752" s="8" t="n"/>
      <c r="G752" s="72">
        <f>IF(A752&lt;&gt;"",TEXT(A752,"YYYY-MM"),"")</f>
        <v/>
      </c>
    </row>
    <row r="753">
      <c r="A753" s="71" t="n"/>
      <c r="B753" s="8" t="n"/>
      <c r="C753" s="8" t="n"/>
      <c r="D753" s="8" t="n"/>
      <c r="E753" s="14" t="n"/>
      <c r="F753" s="8" t="n"/>
      <c r="G753" s="72">
        <f>IF(A753&lt;&gt;"",TEXT(A753,"YYYY-MM"),"")</f>
        <v/>
      </c>
    </row>
    <row r="754">
      <c r="A754" s="71" t="n"/>
      <c r="B754" s="8" t="n"/>
      <c r="C754" s="8" t="n"/>
      <c r="D754" s="8" t="n"/>
      <c r="E754" s="14" t="n"/>
      <c r="F754" s="8" t="n"/>
      <c r="G754" s="72">
        <f>IF(A754&lt;&gt;"",TEXT(A754,"YYYY-MM"),"")</f>
        <v/>
      </c>
    </row>
    <row r="755">
      <c r="A755" s="71" t="n"/>
      <c r="B755" s="8" t="n"/>
      <c r="C755" s="8" t="n"/>
      <c r="D755" s="8" t="n"/>
      <c r="E755" s="14" t="n"/>
      <c r="F755" s="8" t="n"/>
      <c r="G755" s="72">
        <f>IF(A755&lt;&gt;"",TEXT(A755,"YYYY-MM"),"")</f>
        <v/>
      </c>
    </row>
    <row r="756">
      <c r="A756" s="71" t="n"/>
      <c r="B756" s="8" t="n"/>
      <c r="C756" s="8" t="n"/>
      <c r="D756" s="8" t="n"/>
      <c r="E756" s="14" t="n"/>
      <c r="F756" s="8" t="n"/>
      <c r="G756" s="72">
        <f>IF(A756&lt;&gt;"",TEXT(A756,"YYYY-MM"),"")</f>
        <v/>
      </c>
    </row>
    <row r="757">
      <c r="A757" s="71" t="n"/>
      <c r="B757" s="8" t="n"/>
      <c r="C757" s="8" t="n"/>
      <c r="D757" s="8" t="n"/>
      <c r="E757" s="14" t="n"/>
      <c r="F757" s="8" t="n"/>
      <c r="G757" s="72">
        <f>IF(A757&lt;&gt;"",TEXT(A757,"YYYY-MM"),"")</f>
        <v/>
      </c>
    </row>
    <row r="758">
      <c r="A758" s="71" t="n"/>
      <c r="B758" s="8" t="n"/>
      <c r="C758" s="8" t="n"/>
      <c r="D758" s="8" t="n"/>
      <c r="E758" s="14" t="n"/>
      <c r="F758" s="8" t="n"/>
      <c r="G758" s="72">
        <f>IF(A758&lt;&gt;"",TEXT(A758,"YYYY-MM"),"")</f>
        <v/>
      </c>
    </row>
    <row r="759">
      <c r="A759" s="71" t="n"/>
      <c r="B759" s="8" t="n"/>
      <c r="C759" s="8" t="n"/>
      <c r="D759" s="8" t="n"/>
      <c r="E759" s="14" t="n"/>
      <c r="F759" s="8" t="n"/>
      <c r="G759" s="72">
        <f>IF(A759&lt;&gt;"",TEXT(A759,"YYYY-MM"),"")</f>
        <v/>
      </c>
    </row>
    <row r="760">
      <c r="A760" s="71" t="n"/>
      <c r="B760" s="8" t="n"/>
      <c r="C760" s="8" t="n"/>
      <c r="D760" s="8" t="n"/>
      <c r="E760" s="14" t="n"/>
      <c r="F760" s="8" t="n"/>
      <c r="G760" s="72">
        <f>IF(A760&lt;&gt;"",TEXT(A760,"YYYY-MM"),"")</f>
        <v/>
      </c>
    </row>
    <row r="761">
      <c r="A761" s="71" t="n"/>
      <c r="B761" s="8" t="n"/>
      <c r="C761" s="8" t="n"/>
      <c r="D761" s="8" t="n"/>
      <c r="E761" s="14" t="n"/>
      <c r="F761" s="8" t="n"/>
      <c r="G761" s="72">
        <f>IF(A761&lt;&gt;"",TEXT(A761,"YYYY-MM"),"")</f>
        <v/>
      </c>
    </row>
    <row r="762">
      <c r="A762" s="71" t="n"/>
      <c r="B762" s="8" t="n"/>
      <c r="C762" s="8" t="n"/>
      <c r="D762" s="8" t="n"/>
      <c r="E762" s="14" t="n"/>
      <c r="F762" s="8" t="n"/>
      <c r="G762" s="72">
        <f>IF(A762&lt;&gt;"",TEXT(A762,"YYYY-MM"),"")</f>
        <v/>
      </c>
    </row>
    <row r="763">
      <c r="A763" s="71" t="n"/>
      <c r="B763" s="8" t="n"/>
      <c r="C763" s="8" t="n"/>
      <c r="D763" s="8" t="n"/>
      <c r="E763" s="14" t="n"/>
      <c r="F763" s="8" t="n"/>
      <c r="G763" s="72">
        <f>IF(A763&lt;&gt;"",TEXT(A763,"YYYY-MM"),"")</f>
        <v/>
      </c>
    </row>
    <row r="764">
      <c r="A764" s="71" t="n"/>
      <c r="B764" s="8" t="n"/>
      <c r="C764" s="8" t="n"/>
      <c r="D764" s="8" t="n"/>
      <c r="E764" s="14" t="n"/>
      <c r="F764" s="8" t="n"/>
      <c r="G764" s="72">
        <f>IF(A764&lt;&gt;"",TEXT(A764,"YYYY-MM"),"")</f>
        <v/>
      </c>
    </row>
    <row r="765">
      <c r="A765" s="71" t="n"/>
      <c r="B765" s="8" t="n"/>
      <c r="C765" s="8" t="n"/>
      <c r="D765" s="8" t="n"/>
      <c r="E765" s="14" t="n"/>
      <c r="F765" s="8" t="n"/>
      <c r="G765" s="72">
        <f>IF(A765&lt;&gt;"",TEXT(A765,"YYYY-MM"),"")</f>
        <v/>
      </c>
    </row>
    <row r="766">
      <c r="A766" s="71" t="n"/>
      <c r="B766" s="8" t="n"/>
      <c r="C766" s="8" t="n"/>
      <c r="D766" s="8" t="n"/>
      <c r="E766" s="14" t="n"/>
      <c r="F766" s="8" t="n"/>
      <c r="G766" s="72">
        <f>IF(A766&lt;&gt;"",TEXT(A766,"YYYY-MM"),"")</f>
        <v/>
      </c>
    </row>
    <row r="767">
      <c r="A767" s="71" t="n"/>
      <c r="B767" s="8" t="n"/>
      <c r="C767" s="8" t="n"/>
      <c r="D767" s="8" t="n"/>
      <c r="E767" s="14" t="n"/>
      <c r="F767" s="8" t="n"/>
      <c r="G767" s="72">
        <f>IF(A767&lt;&gt;"",TEXT(A767,"YYYY-MM"),"")</f>
        <v/>
      </c>
    </row>
    <row r="768">
      <c r="A768" s="71" t="n"/>
      <c r="B768" s="8" t="n"/>
      <c r="C768" s="8" t="n"/>
      <c r="D768" s="8" t="n"/>
      <c r="E768" s="14" t="n"/>
      <c r="F768" s="8" t="n"/>
      <c r="G768" s="72">
        <f>IF(A768&lt;&gt;"",TEXT(A768,"YYYY-MM"),"")</f>
        <v/>
      </c>
    </row>
    <row r="769">
      <c r="A769" s="71" t="n"/>
      <c r="B769" s="8" t="n"/>
      <c r="C769" s="8" t="n"/>
      <c r="D769" s="8" t="n"/>
      <c r="E769" s="14" t="n"/>
      <c r="F769" s="8" t="n"/>
      <c r="G769" s="72">
        <f>IF(A769&lt;&gt;"",TEXT(A769,"YYYY-MM"),"")</f>
        <v/>
      </c>
    </row>
    <row r="770">
      <c r="A770" s="71" t="n"/>
      <c r="B770" s="8" t="n"/>
      <c r="C770" s="8" t="n"/>
      <c r="D770" s="8" t="n"/>
      <c r="E770" s="14" t="n"/>
      <c r="F770" s="8" t="n"/>
      <c r="G770" s="72">
        <f>IF(A770&lt;&gt;"",TEXT(A770,"YYYY-MM"),"")</f>
        <v/>
      </c>
    </row>
    <row r="771">
      <c r="A771" s="71" t="n"/>
      <c r="B771" s="8" t="n"/>
      <c r="C771" s="8" t="n"/>
      <c r="D771" s="8" t="n"/>
      <c r="E771" s="14" t="n"/>
      <c r="F771" s="8" t="n"/>
      <c r="G771" s="72">
        <f>IF(A771&lt;&gt;"",TEXT(A771,"YYYY-MM"),"")</f>
        <v/>
      </c>
    </row>
    <row r="772">
      <c r="A772" s="71" t="n"/>
      <c r="B772" s="8" t="n"/>
      <c r="C772" s="8" t="n"/>
      <c r="D772" s="8" t="n"/>
      <c r="E772" s="14" t="n"/>
      <c r="F772" s="8" t="n"/>
      <c r="G772" s="72">
        <f>IF(A772&lt;&gt;"",TEXT(A772,"YYYY-MM"),"")</f>
        <v/>
      </c>
    </row>
    <row r="773">
      <c r="A773" s="71" t="n"/>
      <c r="B773" s="8" t="n"/>
      <c r="C773" s="8" t="n"/>
      <c r="D773" s="8" t="n"/>
      <c r="E773" s="14" t="n"/>
      <c r="F773" s="8" t="n"/>
      <c r="G773" s="72">
        <f>IF(A773&lt;&gt;"",TEXT(A773,"YYYY-MM"),"")</f>
        <v/>
      </c>
    </row>
    <row r="774">
      <c r="A774" s="71" t="n"/>
      <c r="B774" s="8" t="n"/>
      <c r="C774" s="8" t="n"/>
      <c r="D774" s="8" t="n"/>
      <c r="E774" s="14" t="n"/>
      <c r="F774" s="8" t="n"/>
      <c r="G774" s="72">
        <f>IF(A774&lt;&gt;"",TEXT(A774,"YYYY-MM"),"")</f>
        <v/>
      </c>
    </row>
    <row r="775">
      <c r="A775" s="71" t="n"/>
      <c r="B775" s="8" t="n"/>
      <c r="C775" s="8" t="n"/>
      <c r="D775" s="8" t="n"/>
      <c r="E775" s="14" t="n"/>
      <c r="F775" s="8" t="n"/>
      <c r="G775" s="72">
        <f>IF(A775&lt;&gt;"",TEXT(A775,"YYYY-MM"),"")</f>
        <v/>
      </c>
    </row>
    <row r="776">
      <c r="A776" s="71" t="n"/>
      <c r="B776" s="8" t="n"/>
      <c r="C776" s="8" t="n"/>
      <c r="D776" s="8" t="n"/>
      <c r="E776" s="14" t="n"/>
      <c r="F776" s="8" t="n"/>
      <c r="G776" s="72">
        <f>IF(A776&lt;&gt;"",TEXT(A776,"YYYY-MM"),"")</f>
        <v/>
      </c>
    </row>
    <row r="777">
      <c r="A777" s="71" t="n"/>
      <c r="B777" s="8" t="n"/>
      <c r="C777" s="8" t="n"/>
      <c r="D777" s="8" t="n"/>
      <c r="E777" s="14" t="n"/>
      <c r="F777" s="8" t="n"/>
      <c r="G777" s="72">
        <f>IF(A777&lt;&gt;"",TEXT(A777,"YYYY-MM"),"")</f>
        <v/>
      </c>
    </row>
    <row r="778">
      <c r="A778" s="71" t="n"/>
      <c r="B778" s="8" t="n"/>
      <c r="C778" s="8" t="n"/>
      <c r="D778" s="8" t="n"/>
      <c r="E778" s="14" t="n"/>
      <c r="F778" s="8" t="n"/>
      <c r="G778" s="72">
        <f>IF(A778&lt;&gt;"",TEXT(A778,"YYYY-MM"),"")</f>
        <v/>
      </c>
    </row>
    <row r="779">
      <c r="A779" s="71" t="n"/>
      <c r="B779" s="8" t="n"/>
      <c r="C779" s="8" t="n"/>
      <c r="D779" s="8" t="n"/>
      <c r="E779" s="14" t="n"/>
      <c r="F779" s="8" t="n"/>
      <c r="G779" s="72">
        <f>IF(A779&lt;&gt;"",TEXT(A779,"YYYY-MM"),"")</f>
        <v/>
      </c>
    </row>
    <row r="780">
      <c r="A780" s="71" t="n"/>
      <c r="B780" s="8" t="n"/>
      <c r="C780" s="8" t="n"/>
      <c r="D780" s="8" t="n"/>
      <c r="E780" s="14" t="n"/>
      <c r="F780" s="8" t="n"/>
      <c r="G780" s="72">
        <f>IF(A780&lt;&gt;"",TEXT(A780,"YYYY-MM"),"")</f>
        <v/>
      </c>
    </row>
    <row r="781">
      <c r="A781" s="71" t="n"/>
      <c r="B781" s="8" t="n"/>
      <c r="C781" s="8" t="n"/>
      <c r="D781" s="8" t="n"/>
      <c r="E781" s="14" t="n"/>
      <c r="F781" s="8" t="n"/>
      <c r="G781" s="72">
        <f>IF(A781&lt;&gt;"",TEXT(A781,"YYYY-MM"),"")</f>
        <v/>
      </c>
    </row>
    <row r="782">
      <c r="A782" s="71" t="n"/>
      <c r="B782" s="8" t="n"/>
      <c r="C782" s="8" t="n"/>
      <c r="D782" s="8" t="n"/>
      <c r="E782" s="14" t="n"/>
      <c r="F782" s="8" t="n"/>
      <c r="G782" s="72">
        <f>IF(A782&lt;&gt;"",TEXT(A782,"YYYY-MM"),"")</f>
        <v/>
      </c>
    </row>
    <row r="783">
      <c r="A783" s="71" t="n"/>
      <c r="B783" s="8" t="n"/>
      <c r="C783" s="8" t="n"/>
      <c r="D783" s="8" t="n"/>
      <c r="E783" s="14" t="n"/>
      <c r="F783" s="8" t="n"/>
      <c r="G783" s="72">
        <f>IF(A783&lt;&gt;"",TEXT(A783,"YYYY-MM"),"")</f>
        <v/>
      </c>
    </row>
    <row r="784">
      <c r="A784" s="71" t="n"/>
      <c r="B784" s="8" t="n"/>
      <c r="C784" s="8" t="n"/>
      <c r="D784" s="8" t="n"/>
      <c r="E784" s="14" t="n"/>
      <c r="F784" s="8" t="n"/>
      <c r="G784" s="72">
        <f>IF(A784&lt;&gt;"",TEXT(A784,"YYYY-MM"),"")</f>
        <v/>
      </c>
    </row>
    <row r="785">
      <c r="A785" s="71" t="n"/>
      <c r="B785" s="8" t="n"/>
      <c r="C785" s="8" t="n"/>
      <c r="D785" s="8" t="n"/>
      <c r="E785" s="14" t="n"/>
      <c r="F785" s="8" t="n"/>
      <c r="G785" s="72">
        <f>IF(A785&lt;&gt;"",TEXT(A785,"YYYY-MM"),"")</f>
        <v/>
      </c>
    </row>
    <row r="786">
      <c r="A786" s="71" t="n"/>
      <c r="B786" s="8" t="n"/>
      <c r="C786" s="8" t="n"/>
      <c r="D786" s="8" t="n"/>
      <c r="E786" s="14" t="n"/>
      <c r="F786" s="8" t="n"/>
      <c r="G786" s="72">
        <f>IF(A786&lt;&gt;"",TEXT(A786,"YYYY-MM"),"")</f>
        <v/>
      </c>
    </row>
    <row r="787">
      <c r="A787" s="71" t="n"/>
      <c r="B787" s="8" t="n"/>
      <c r="C787" s="8" t="n"/>
      <c r="D787" s="8" t="n"/>
      <c r="E787" s="14" t="n"/>
      <c r="F787" s="8" t="n"/>
      <c r="G787" s="72">
        <f>IF(A787&lt;&gt;"",TEXT(A787,"YYYY-MM"),"")</f>
        <v/>
      </c>
    </row>
    <row r="788">
      <c r="A788" s="71" t="n"/>
      <c r="B788" s="8" t="n"/>
      <c r="C788" s="8" t="n"/>
      <c r="D788" s="8" t="n"/>
      <c r="E788" s="14" t="n"/>
      <c r="F788" s="8" t="n"/>
      <c r="G788" s="72">
        <f>IF(A788&lt;&gt;"",TEXT(A788,"YYYY-MM"),"")</f>
        <v/>
      </c>
    </row>
    <row r="789">
      <c r="A789" s="71" t="n"/>
      <c r="B789" s="8" t="n"/>
      <c r="C789" s="8" t="n"/>
      <c r="D789" s="8" t="n"/>
      <c r="E789" s="14" t="n"/>
      <c r="F789" s="8" t="n"/>
      <c r="G789" s="72">
        <f>IF(A789&lt;&gt;"",TEXT(A789,"YYYY-MM"),"")</f>
        <v/>
      </c>
    </row>
    <row r="790">
      <c r="A790" s="71" t="n"/>
      <c r="B790" s="8" t="n"/>
      <c r="C790" s="8" t="n"/>
      <c r="D790" s="8" t="n"/>
      <c r="E790" s="14" t="n"/>
      <c r="F790" s="8" t="n"/>
      <c r="G790" s="72">
        <f>IF(A790&lt;&gt;"",TEXT(A790,"YYYY-MM"),"")</f>
        <v/>
      </c>
    </row>
    <row r="791">
      <c r="A791" s="71" t="n"/>
      <c r="B791" s="8" t="n"/>
      <c r="C791" s="8" t="n"/>
      <c r="D791" s="8" t="n"/>
      <c r="E791" s="14" t="n"/>
      <c r="F791" s="8" t="n"/>
      <c r="G791" s="72">
        <f>IF(A791&lt;&gt;"",TEXT(A791,"YYYY-MM"),"")</f>
        <v/>
      </c>
    </row>
    <row r="792">
      <c r="A792" s="71" t="n"/>
      <c r="B792" s="8" t="n"/>
      <c r="C792" s="8" t="n"/>
      <c r="D792" s="8" t="n"/>
      <c r="E792" s="14" t="n"/>
      <c r="F792" s="8" t="n"/>
      <c r="G792" s="72">
        <f>IF(A792&lt;&gt;"",TEXT(A792,"YYYY-MM"),"")</f>
        <v/>
      </c>
    </row>
    <row r="793">
      <c r="A793" s="71" t="n"/>
      <c r="B793" s="8" t="n"/>
      <c r="C793" s="8" t="n"/>
      <c r="D793" s="8" t="n"/>
      <c r="E793" s="14" t="n"/>
      <c r="F793" s="8" t="n"/>
      <c r="G793" s="72">
        <f>IF(A793&lt;&gt;"",TEXT(A793,"YYYY-MM"),"")</f>
        <v/>
      </c>
    </row>
    <row r="794">
      <c r="A794" s="71" t="n"/>
      <c r="B794" s="8" t="n"/>
      <c r="C794" s="8" t="n"/>
      <c r="D794" s="8" t="n"/>
      <c r="E794" s="14" t="n"/>
      <c r="F794" s="8" t="n"/>
      <c r="G794" s="72">
        <f>IF(A794&lt;&gt;"",TEXT(A794,"YYYY-MM"),"")</f>
        <v/>
      </c>
    </row>
    <row r="795">
      <c r="A795" s="71" t="n"/>
      <c r="B795" s="8" t="n"/>
      <c r="C795" s="8" t="n"/>
      <c r="D795" s="8" t="n"/>
      <c r="E795" s="14" t="n"/>
      <c r="F795" s="8" t="n"/>
      <c r="G795" s="72">
        <f>IF(A795&lt;&gt;"",TEXT(A795,"YYYY-MM"),"")</f>
        <v/>
      </c>
    </row>
    <row r="796">
      <c r="A796" s="71" t="n"/>
      <c r="B796" s="8" t="n"/>
      <c r="C796" s="8" t="n"/>
      <c r="D796" s="8" t="n"/>
      <c r="E796" s="14" t="n"/>
      <c r="F796" s="8" t="n"/>
      <c r="G796" s="72">
        <f>IF(A796&lt;&gt;"",TEXT(A796,"YYYY-MM"),"")</f>
        <v/>
      </c>
    </row>
    <row r="797">
      <c r="A797" s="71" t="n"/>
      <c r="B797" s="8" t="n"/>
      <c r="C797" s="8" t="n"/>
      <c r="D797" s="8" t="n"/>
      <c r="E797" s="14" t="n"/>
      <c r="F797" s="8" t="n"/>
      <c r="G797" s="72">
        <f>IF(A797&lt;&gt;"",TEXT(A797,"YYYY-MM"),"")</f>
        <v/>
      </c>
    </row>
    <row r="798">
      <c r="A798" s="71" t="n"/>
      <c r="B798" s="8" t="n"/>
      <c r="C798" s="8" t="n"/>
      <c r="D798" s="8" t="n"/>
      <c r="E798" s="14" t="n"/>
      <c r="F798" s="8" t="n"/>
      <c r="G798" s="72">
        <f>IF(A798&lt;&gt;"",TEXT(A798,"YYYY-MM"),"")</f>
        <v/>
      </c>
    </row>
    <row r="799">
      <c r="A799" s="71" t="n"/>
      <c r="B799" s="8" t="n"/>
      <c r="C799" s="8" t="n"/>
      <c r="D799" s="8" t="n"/>
      <c r="E799" s="14" t="n"/>
      <c r="F799" s="8" t="n"/>
      <c r="G799" s="72">
        <f>IF(A799&lt;&gt;"",TEXT(A799,"YYYY-MM"),"")</f>
        <v/>
      </c>
    </row>
    <row r="800">
      <c r="A800" s="71" t="n"/>
      <c r="B800" s="8" t="n"/>
      <c r="C800" s="8" t="n"/>
      <c r="D800" s="8" t="n"/>
      <c r="E800" s="14" t="n"/>
      <c r="F800" s="8" t="n"/>
      <c r="G800" s="72">
        <f>IF(A800&lt;&gt;"",TEXT(A800,"YYYY-MM"),"")</f>
        <v/>
      </c>
    </row>
    <row r="801">
      <c r="A801" s="71" t="n"/>
      <c r="B801" s="8" t="n"/>
      <c r="C801" s="8" t="n"/>
      <c r="D801" s="8" t="n"/>
      <c r="E801" s="14" t="n"/>
      <c r="F801" s="8" t="n"/>
      <c r="G801" s="72">
        <f>IF(A801&lt;&gt;"",TEXT(A801,"YYYY-MM"),"")</f>
        <v/>
      </c>
    </row>
    <row r="802">
      <c r="A802" s="71" t="n"/>
      <c r="B802" s="8" t="n"/>
      <c r="C802" s="8" t="n"/>
      <c r="D802" s="8" t="n"/>
      <c r="E802" s="14" t="n"/>
      <c r="F802" s="8" t="n"/>
      <c r="G802" s="72">
        <f>IF(A802&lt;&gt;"",TEXT(A802,"YYYY-MM"),"")</f>
        <v/>
      </c>
    </row>
    <row r="803">
      <c r="A803" s="71" t="n"/>
      <c r="B803" s="8" t="n"/>
      <c r="C803" s="8" t="n"/>
      <c r="D803" s="8" t="n"/>
      <c r="E803" s="14" t="n"/>
      <c r="F803" s="8" t="n"/>
      <c r="G803" s="72">
        <f>IF(A803&lt;&gt;"",TEXT(A803,"YYYY-MM"),"")</f>
        <v/>
      </c>
    </row>
    <row r="804">
      <c r="A804" s="71" t="n"/>
      <c r="B804" s="8" t="n"/>
      <c r="C804" s="8" t="n"/>
      <c r="D804" s="8" t="n"/>
      <c r="E804" s="14" t="n"/>
      <c r="F804" s="8" t="n"/>
      <c r="G804" s="72">
        <f>IF(A804&lt;&gt;"",TEXT(A804,"YYYY-MM"),"")</f>
        <v/>
      </c>
    </row>
    <row r="805">
      <c r="A805" s="71" t="n"/>
      <c r="B805" s="8" t="n"/>
      <c r="C805" s="8" t="n"/>
      <c r="D805" s="8" t="n"/>
      <c r="E805" s="14" t="n"/>
      <c r="F805" s="8" t="n"/>
      <c r="G805" s="72">
        <f>IF(A805&lt;&gt;"",TEXT(A805,"YYYY-MM"),"")</f>
        <v/>
      </c>
    </row>
    <row r="806">
      <c r="A806" s="71" t="n"/>
      <c r="B806" s="8" t="n"/>
      <c r="C806" s="8" t="n"/>
      <c r="D806" s="8" t="n"/>
      <c r="E806" s="14" t="n"/>
      <c r="F806" s="8" t="n"/>
      <c r="G806" s="72">
        <f>IF(A806&lt;&gt;"",TEXT(A806,"YYYY-MM"),"")</f>
        <v/>
      </c>
    </row>
    <row r="807">
      <c r="A807" s="71" t="n"/>
      <c r="B807" s="8" t="n"/>
      <c r="C807" s="8" t="n"/>
      <c r="D807" s="8" t="n"/>
      <c r="E807" s="14" t="n"/>
      <c r="F807" s="8" t="n"/>
      <c r="G807" s="72">
        <f>IF(A807&lt;&gt;"",TEXT(A807,"YYYY-MM"),"")</f>
        <v/>
      </c>
    </row>
    <row r="808">
      <c r="A808" s="71" t="n"/>
      <c r="B808" s="8" t="n"/>
      <c r="C808" s="8" t="n"/>
      <c r="D808" s="8" t="n"/>
      <c r="E808" s="14" t="n"/>
      <c r="F808" s="8" t="n"/>
      <c r="G808" s="72">
        <f>IF(A808&lt;&gt;"",TEXT(A808,"YYYY-MM"),"")</f>
        <v/>
      </c>
    </row>
    <row r="809">
      <c r="A809" s="71" t="n"/>
      <c r="B809" s="8" t="n"/>
      <c r="C809" s="8" t="n"/>
      <c r="D809" s="8" t="n"/>
      <c r="E809" s="14" t="n"/>
      <c r="F809" s="8" t="n"/>
      <c r="G809" s="72">
        <f>IF(A809&lt;&gt;"",TEXT(A809,"YYYY-MM"),"")</f>
        <v/>
      </c>
    </row>
    <row r="810">
      <c r="A810" s="71" t="n"/>
      <c r="B810" s="8" t="n"/>
      <c r="C810" s="8" t="n"/>
      <c r="D810" s="8" t="n"/>
      <c r="E810" s="14" t="n"/>
      <c r="F810" s="8" t="n"/>
      <c r="G810" s="72">
        <f>IF(A810&lt;&gt;"",TEXT(A810,"YYYY-MM"),"")</f>
        <v/>
      </c>
    </row>
    <row r="811">
      <c r="A811" s="71" t="n"/>
      <c r="B811" s="8" t="n"/>
      <c r="C811" s="8" t="n"/>
      <c r="D811" s="8" t="n"/>
      <c r="E811" s="14" t="n"/>
      <c r="F811" s="8" t="n"/>
      <c r="G811" s="72">
        <f>IF(A811&lt;&gt;"",TEXT(A811,"YYYY-MM"),"")</f>
        <v/>
      </c>
    </row>
    <row r="812">
      <c r="A812" s="71" t="n"/>
      <c r="B812" s="8" t="n"/>
      <c r="C812" s="8" t="n"/>
      <c r="D812" s="8" t="n"/>
      <c r="E812" s="14" t="n"/>
      <c r="F812" s="8" t="n"/>
      <c r="G812" s="72">
        <f>IF(A812&lt;&gt;"",TEXT(A812,"YYYY-MM"),"")</f>
        <v/>
      </c>
    </row>
    <row r="813">
      <c r="A813" s="71" t="n"/>
      <c r="B813" s="8" t="n"/>
      <c r="C813" s="8" t="n"/>
      <c r="D813" s="8" t="n"/>
      <c r="E813" s="14" t="n"/>
      <c r="F813" s="8" t="n"/>
      <c r="G813" s="72">
        <f>IF(A813&lt;&gt;"",TEXT(A813,"YYYY-MM"),"")</f>
        <v/>
      </c>
    </row>
    <row r="814">
      <c r="A814" s="71" t="n"/>
      <c r="B814" s="8" t="n"/>
      <c r="C814" s="8" t="n"/>
      <c r="D814" s="8" t="n"/>
      <c r="E814" s="14" t="n"/>
      <c r="F814" s="8" t="n"/>
      <c r="G814" s="72">
        <f>IF(A814&lt;&gt;"",TEXT(A814,"YYYY-MM"),"")</f>
        <v/>
      </c>
    </row>
    <row r="815">
      <c r="A815" s="71" t="n"/>
      <c r="B815" s="8" t="n"/>
      <c r="C815" s="8" t="n"/>
      <c r="D815" s="8" t="n"/>
      <c r="E815" s="14" t="n"/>
      <c r="F815" s="8" t="n"/>
      <c r="G815" s="72">
        <f>IF(A815&lt;&gt;"",TEXT(A815,"YYYY-MM"),"")</f>
        <v/>
      </c>
    </row>
    <row r="816">
      <c r="A816" s="71" t="n"/>
      <c r="B816" s="8" t="n"/>
      <c r="C816" s="8" t="n"/>
      <c r="D816" s="8" t="n"/>
      <c r="E816" s="14" t="n"/>
      <c r="F816" s="8" t="n"/>
      <c r="G816" s="72">
        <f>IF(A816&lt;&gt;"",TEXT(A816,"YYYY-MM"),"")</f>
        <v/>
      </c>
    </row>
    <row r="817">
      <c r="A817" s="71" t="n"/>
      <c r="B817" s="8" t="n"/>
      <c r="C817" s="8" t="n"/>
      <c r="D817" s="8" t="n"/>
      <c r="E817" s="14" t="n"/>
      <c r="F817" s="8" t="n"/>
      <c r="G817" s="72">
        <f>IF(A817&lt;&gt;"",TEXT(A817,"YYYY-MM"),"")</f>
        <v/>
      </c>
    </row>
    <row r="818">
      <c r="A818" s="71" t="n"/>
      <c r="B818" s="8" t="n"/>
      <c r="C818" s="8" t="n"/>
      <c r="D818" s="8" t="n"/>
      <c r="E818" s="14" t="n"/>
      <c r="F818" s="8" t="n"/>
      <c r="G818" s="72">
        <f>IF(A818&lt;&gt;"",TEXT(A818,"YYYY-MM"),"")</f>
        <v/>
      </c>
    </row>
    <row r="819">
      <c r="A819" s="71" t="n"/>
      <c r="B819" s="8" t="n"/>
      <c r="C819" s="8" t="n"/>
      <c r="D819" s="8" t="n"/>
      <c r="E819" s="14" t="n"/>
      <c r="F819" s="8" t="n"/>
      <c r="G819" s="72">
        <f>IF(A819&lt;&gt;"",TEXT(A819,"YYYY-MM"),"")</f>
        <v/>
      </c>
    </row>
    <row r="820">
      <c r="A820" s="71" t="n"/>
      <c r="B820" s="8" t="n"/>
      <c r="C820" s="8" t="n"/>
      <c r="D820" s="8" t="n"/>
      <c r="E820" s="14" t="n"/>
      <c r="F820" s="8" t="n"/>
      <c r="G820" s="72">
        <f>IF(A820&lt;&gt;"",TEXT(A820,"YYYY-MM"),"")</f>
        <v/>
      </c>
    </row>
    <row r="821">
      <c r="A821" s="71" t="n"/>
      <c r="B821" s="8" t="n"/>
      <c r="C821" s="8" t="n"/>
      <c r="D821" s="8" t="n"/>
      <c r="E821" s="14" t="n"/>
      <c r="F821" s="8" t="n"/>
      <c r="G821" s="72">
        <f>IF(A821&lt;&gt;"",TEXT(A821,"YYYY-MM"),"")</f>
        <v/>
      </c>
    </row>
    <row r="822">
      <c r="A822" s="71" t="n"/>
      <c r="B822" s="8" t="n"/>
      <c r="C822" s="8" t="n"/>
      <c r="D822" s="8" t="n"/>
      <c r="E822" s="14" t="n"/>
      <c r="F822" s="8" t="n"/>
      <c r="G822" s="72">
        <f>IF(A822&lt;&gt;"",TEXT(A822,"YYYY-MM"),"")</f>
        <v/>
      </c>
    </row>
    <row r="823">
      <c r="A823" s="71" t="n"/>
      <c r="B823" s="8" t="n"/>
      <c r="C823" s="8" t="n"/>
      <c r="D823" s="8" t="n"/>
      <c r="E823" s="14" t="n"/>
      <c r="F823" s="8" t="n"/>
      <c r="G823" s="72">
        <f>IF(A823&lt;&gt;"",TEXT(A823,"YYYY-MM"),"")</f>
        <v/>
      </c>
    </row>
    <row r="824">
      <c r="A824" s="71" t="n"/>
      <c r="B824" s="8" t="n"/>
      <c r="C824" s="8" t="n"/>
      <c r="D824" s="8" t="n"/>
      <c r="E824" s="14" t="n"/>
      <c r="F824" s="8" t="n"/>
      <c r="G824" s="72">
        <f>IF(A824&lt;&gt;"",TEXT(A824,"YYYY-MM"),"")</f>
        <v/>
      </c>
    </row>
    <row r="825">
      <c r="A825" s="71" t="n"/>
      <c r="B825" s="8" t="n"/>
      <c r="C825" s="8" t="n"/>
      <c r="D825" s="8" t="n"/>
      <c r="E825" s="14" t="n"/>
      <c r="F825" s="8" t="n"/>
      <c r="G825" s="72">
        <f>IF(A825&lt;&gt;"",TEXT(A825,"YYYY-MM"),"")</f>
        <v/>
      </c>
    </row>
    <row r="826">
      <c r="A826" s="71" t="n"/>
      <c r="B826" s="8" t="n"/>
      <c r="C826" s="8" t="n"/>
      <c r="D826" s="8" t="n"/>
      <c r="E826" s="14" t="n"/>
      <c r="F826" s="8" t="n"/>
      <c r="G826" s="72">
        <f>IF(A826&lt;&gt;"",TEXT(A826,"YYYY-MM"),"")</f>
        <v/>
      </c>
    </row>
    <row r="827">
      <c r="A827" s="71" t="n"/>
      <c r="B827" s="8" t="n"/>
      <c r="C827" s="8" t="n"/>
      <c r="D827" s="8" t="n"/>
      <c r="E827" s="14" t="n"/>
      <c r="F827" s="8" t="n"/>
      <c r="G827" s="72">
        <f>IF(A827&lt;&gt;"",TEXT(A827,"YYYY-MM"),"")</f>
        <v/>
      </c>
    </row>
    <row r="828">
      <c r="A828" s="71" t="n"/>
      <c r="B828" s="8" t="n"/>
      <c r="C828" s="8" t="n"/>
      <c r="D828" s="8" t="n"/>
      <c r="E828" s="14" t="n"/>
      <c r="F828" s="8" t="n"/>
      <c r="G828" s="72">
        <f>IF(A828&lt;&gt;"",TEXT(A828,"YYYY-MM"),"")</f>
        <v/>
      </c>
    </row>
    <row r="829">
      <c r="A829" s="71" t="n"/>
      <c r="B829" s="8" t="n"/>
      <c r="C829" s="8" t="n"/>
      <c r="D829" s="8" t="n"/>
      <c r="E829" s="14" t="n"/>
      <c r="F829" s="8" t="n"/>
      <c r="G829" s="72">
        <f>IF(A829&lt;&gt;"",TEXT(A829,"YYYY-MM"),"")</f>
        <v/>
      </c>
    </row>
    <row r="830">
      <c r="A830" s="71" t="n"/>
      <c r="B830" s="8" t="n"/>
      <c r="C830" s="8" t="n"/>
      <c r="D830" s="8" t="n"/>
      <c r="E830" s="14" t="n"/>
      <c r="F830" s="8" t="n"/>
      <c r="G830" s="72">
        <f>IF(A830&lt;&gt;"",TEXT(A830,"YYYY-MM"),"")</f>
        <v/>
      </c>
    </row>
    <row r="831">
      <c r="A831" s="71" t="n"/>
      <c r="B831" s="8" t="n"/>
      <c r="C831" s="8" t="n"/>
      <c r="D831" s="8" t="n"/>
      <c r="E831" s="14" t="n"/>
      <c r="F831" s="8" t="n"/>
      <c r="G831" s="72">
        <f>IF(A831&lt;&gt;"",TEXT(A831,"YYYY-MM"),"")</f>
        <v/>
      </c>
    </row>
    <row r="832">
      <c r="A832" s="71" t="n"/>
      <c r="B832" s="8" t="n"/>
      <c r="C832" s="8" t="n"/>
      <c r="D832" s="8" t="n"/>
      <c r="E832" s="14" t="n"/>
      <c r="F832" s="8" t="n"/>
      <c r="G832" s="72">
        <f>IF(A832&lt;&gt;"",TEXT(A832,"YYYY-MM"),"")</f>
        <v/>
      </c>
    </row>
    <row r="833">
      <c r="A833" s="71" t="n"/>
      <c r="B833" s="8" t="n"/>
      <c r="C833" s="8" t="n"/>
      <c r="D833" s="8" t="n"/>
      <c r="E833" s="14" t="n"/>
      <c r="F833" s="8" t="n"/>
      <c r="G833" s="72">
        <f>IF(A833&lt;&gt;"",TEXT(A833,"YYYY-MM"),"")</f>
        <v/>
      </c>
    </row>
    <row r="834">
      <c r="A834" s="71" t="n"/>
      <c r="B834" s="8" t="n"/>
      <c r="C834" s="8" t="n"/>
      <c r="D834" s="8" t="n"/>
      <c r="E834" s="14" t="n"/>
      <c r="F834" s="8" t="n"/>
      <c r="G834" s="72">
        <f>IF(A834&lt;&gt;"",TEXT(A834,"YYYY-MM"),"")</f>
        <v/>
      </c>
    </row>
    <row r="835">
      <c r="A835" s="71" t="n"/>
      <c r="B835" s="8" t="n"/>
      <c r="C835" s="8" t="n"/>
      <c r="D835" s="8" t="n"/>
      <c r="E835" s="14" t="n"/>
      <c r="F835" s="8" t="n"/>
      <c r="G835" s="72">
        <f>IF(A835&lt;&gt;"",TEXT(A835,"YYYY-MM"),"")</f>
        <v/>
      </c>
    </row>
    <row r="836">
      <c r="A836" s="71" t="n"/>
      <c r="B836" s="8" t="n"/>
      <c r="C836" s="8" t="n"/>
      <c r="D836" s="8" t="n"/>
      <c r="E836" s="14" t="n"/>
      <c r="F836" s="8" t="n"/>
      <c r="G836" s="72">
        <f>IF(A836&lt;&gt;"",TEXT(A836,"YYYY-MM"),"")</f>
        <v/>
      </c>
    </row>
    <row r="837">
      <c r="A837" s="71" t="n"/>
      <c r="B837" s="8" t="n"/>
      <c r="C837" s="8" t="n"/>
      <c r="D837" s="8" t="n"/>
      <c r="E837" s="14" t="n"/>
      <c r="F837" s="8" t="n"/>
      <c r="G837" s="72">
        <f>IF(A837&lt;&gt;"",TEXT(A837,"YYYY-MM"),"")</f>
        <v/>
      </c>
    </row>
    <row r="838">
      <c r="A838" s="71" t="n"/>
      <c r="B838" s="8" t="n"/>
      <c r="C838" s="8" t="n"/>
      <c r="D838" s="8" t="n"/>
      <c r="E838" s="14" t="n"/>
      <c r="F838" s="8" t="n"/>
      <c r="G838" s="72">
        <f>IF(A838&lt;&gt;"",TEXT(A838,"YYYY-MM"),"")</f>
        <v/>
      </c>
    </row>
    <row r="839">
      <c r="A839" s="71" t="n"/>
      <c r="B839" s="8" t="n"/>
      <c r="C839" s="8" t="n"/>
      <c r="D839" s="8" t="n"/>
      <c r="E839" s="14" t="n"/>
      <c r="F839" s="8" t="n"/>
      <c r="G839" s="72">
        <f>IF(A839&lt;&gt;"",TEXT(A839,"YYYY-MM"),"")</f>
        <v/>
      </c>
    </row>
    <row r="840">
      <c r="A840" s="71" t="n"/>
      <c r="B840" s="8" t="n"/>
      <c r="C840" s="8" t="n"/>
      <c r="D840" s="8" t="n"/>
      <c r="E840" s="14" t="n"/>
      <c r="F840" s="8" t="n"/>
      <c r="G840" s="72">
        <f>IF(A840&lt;&gt;"",TEXT(A840,"YYYY-MM"),"")</f>
        <v/>
      </c>
    </row>
    <row r="841">
      <c r="A841" s="71" t="n"/>
      <c r="B841" s="8" t="n"/>
      <c r="C841" s="8" t="n"/>
      <c r="D841" s="8" t="n"/>
      <c r="E841" s="14" t="n"/>
      <c r="F841" s="8" t="n"/>
      <c r="G841" s="72">
        <f>IF(A841&lt;&gt;"",TEXT(A841,"YYYY-MM"),"")</f>
        <v/>
      </c>
    </row>
    <row r="842">
      <c r="A842" s="71" t="n"/>
      <c r="B842" s="8" t="n"/>
      <c r="C842" s="8" t="n"/>
      <c r="D842" s="8" t="n"/>
      <c r="E842" s="14" t="n"/>
      <c r="F842" s="8" t="n"/>
      <c r="G842" s="72">
        <f>IF(A842&lt;&gt;"",TEXT(A842,"YYYY-MM"),"")</f>
        <v/>
      </c>
    </row>
    <row r="843">
      <c r="A843" s="71" t="n"/>
      <c r="B843" s="8" t="n"/>
      <c r="C843" s="8" t="n"/>
      <c r="D843" s="8" t="n"/>
      <c r="E843" s="14" t="n"/>
      <c r="F843" s="8" t="n"/>
      <c r="G843" s="72">
        <f>IF(A843&lt;&gt;"",TEXT(A843,"YYYY-MM"),"")</f>
        <v/>
      </c>
    </row>
    <row r="844">
      <c r="A844" s="71" t="n"/>
      <c r="B844" s="8" t="n"/>
      <c r="C844" s="8" t="n"/>
      <c r="D844" s="8" t="n"/>
      <c r="E844" s="14" t="n"/>
      <c r="F844" s="8" t="n"/>
      <c r="G844" s="72">
        <f>IF(A844&lt;&gt;"",TEXT(A844,"YYYY-MM"),"")</f>
        <v/>
      </c>
    </row>
    <row r="845">
      <c r="A845" s="71" t="n"/>
      <c r="B845" s="8" t="n"/>
      <c r="C845" s="8" t="n"/>
      <c r="D845" s="8" t="n"/>
      <c r="E845" s="14" t="n"/>
      <c r="F845" s="8" t="n"/>
      <c r="G845" s="72">
        <f>IF(A845&lt;&gt;"",TEXT(A845,"YYYY-MM"),"")</f>
        <v/>
      </c>
    </row>
    <row r="846">
      <c r="A846" s="71" t="n"/>
      <c r="B846" s="8" t="n"/>
      <c r="C846" s="8" t="n"/>
      <c r="D846" s="8" t="n"/>
      <c r="E846" s="14" t="n"/>
      <c r="F846" s="8" t="n"/>
      <c r="G846" s="72">
        <f>IF(A846&lt;&gt;"",TEXT(A846,"YYYY-MM"),"")</f>
        <v/>
      </c>
    </row>
    <row r="847">
      <c r="A847" s="71" t="n"/>
      <c r="B847" s="8" t="n"/>
      <c r="C847" s="8" t="n"/>
      <c r="D847" s="8" t="n"/>
      <c r="E847" s="14" t="n"/>
      <c r="F847" s="8" t="n"/>
      <c r="G847" s="72">
        <f>IF(A847&lt;&gt;"",TEXT(A847,"YYYY-MM"),"")</f>
        <v/>
      </c>
    </row>
    <row r="848">
      <c r="A848" s="71" t="n"/>
      <c r="B848" s="8" t="n"/>
      <c r="C848" s="8" t="n"/>
      <c r="D848" s="8" t="n"/>
      <c r="E848" s="14" t="n"/>
      <c r="F848" s="8" t="n"/>
      <c r="G848" s="72">
        <f>IF(A848&lt;&gt;"",TEXT(A848,"YYYY-MM"),"")</f>
        <v/>
      </c>
    </row>
    <row r="849">
      <c r="A849" s="71" t="n"/>
      <c r="B849" s="8" t="n"/>
      <c r="C849" s="8" t="n"/>
      <c r="D849" s="8" t="n"/>
      <c r="E849" s="14" t="n"/>
      <c r="F849" s="8" t="n"/>
      <c r="G849" s="72">
        <f>IF(A849&lt;&gt;"",TEXT(A849,"YYYY-MM"),"")</f>
        <v/>
      </c>
    </row>
    <row r="850">
      <c r="A850" s="71" t="n"/>
      <c r="B850" s="8" t="n"/>
      <c r="C850" s="8" t="n"/>
      <c r="D850" s="8" t="n"/>
      <c r="E850" s="14" t="n"/>
      <c r="F850" s="8" t="n"/>
      <c r="G850" s="72">
        <f>IF(A850&lt;&gt;"",TEXT(A850,"YYYY-MM"),"")</f>
        <v/>
      </c>
    </row>
    <row r="851">
      <c r="A851" s="71" t="n"/>
      <c r="B851" s="8" t="n"/>
      <c r="C851" s="8" t="n"/>
      <c r="D851" s="8" t="n"/>
      <c r="E851" s="14" t="n"/>
      <c r="F851" s="8" t="n"/>
      <c r="G851" s="72">
        <f>IF(A851&lt;&gt;"",TEXT(A851,"YYYY-MM"),"")</f>
        <v/>
      </c>
    </row>
    <row r="852">
      <c r="A852" s="71" t="n"/>
      <c r="B852" s="8" t="n"/>
      <c r="C852" s="8" t="n"/>
      <c r="D852" s="8" t="n"/>
      <c r="E852" s="14" t="n"/>
      <c r="F852" s="8" t="n"/>
      <c r="G852" s="72">
        <f>IF(A852&lt;&gt;"",TEXT(A852,"YYYY-MM"),"")</f>
        <v/>
      </c>
    </row>
    <row r="853">
      <c r="A853" s="71" t="n"/>
      <c r="B853" s="8" t="n"/>
      <c r="C853" s="8" t="n"/>
      <c r="D853" s="8" t="n"/>
      <c r="E853" s="14" t="n"/>
      <c r="F853" s="8" t="n"/>
      <c r="G853" s="72">
        <f>IF(A853&lt;&gt;"",TEXT(A853,"YYYY-MM"),"")</f>
        <v/>
      </c>
    </row>
    <row r="854">
      <c r="A854" s="71" t="n"/>
      <c r="B854" s="8" t="n"/>
      <c r="C854" s="8" t="n"/>
      <c r="D854" s="8" t="n"/>
      <c r="E854" s="14" t="n"/>
      <c r="F854" s="8" t="n"/>
      <c r="G854" s="72">
        <f>IF(A854&lt;&gt;"",TEXT(A854,"YYYY-MM"),"")</f>
        <v/>
      </c>
    </row>
    <row r="855">
      <c r="A855" s="71" t="n"/>
      <c r="B855" s="8" t="n"/>
      <c r="C855" s="8" t="n"/>
      <c r="D855" s="8" t="n"/>
      <c r="E855" s="14" t="n"/>
      <c r="F855" s="8" t="n"/>
      <c r="G855" s="72">
        <f>IF(A855&lt;&gt;"",TEXT(A855,"YYYY-MM"),"")</f>
        <v/>
      </c>
    </row>
    <row r="856">
      <c r="A856" s="71" t="n"/>
      <c r="B856" s="8" t="n"/>
      <c r="C856" s="8" t="n"/>
      <c r="D856" s="8" t="n"/>
      <c r="E856" s="14" t="n"/>
      <c r="F856" s="8" t="n"/>
      <c r="G856" s="72">
        <f>IF(A856&lt;&gt;"",TEXT(A856,"YYYY-MM"),"")</f>
        <v/>
      </c>
    </row>
    <row r="857">
      <c r="A857" s="71" t="n"/>
      <c r="B857" s="8" t="n"/>
      <c r="C857" s="8" t="n"/>
      <c r="D857" s="8" t="n"/>
      <c r="E857" s="14" t="n"/>
      <c r="F857" s="8" t="n"/>
      <c r="G857" s="72">
        <f>IF(A857&lt;&gt;"",TEXT(A857,"YYYY-MM"),"")</f>
        <v/>
      </c>
    </row>
    <row r="858">
      <c r="A858" s="71" t="n"/>
      <c r="B858" s="8" t="n"/>
      <c r="C858" s="8" t="n"/>
      <c r="D858" s="8" t="n"/>
      <c r="E858" s="14" t="n"/>
      <c r="F858" s="8" t="n"/>
      <c r="G858" s="72">
        <f>IF(A858&lt;&gt;"",TEXT(A858,"YYYY-MM"),"")</f>
        <v/>
      </c>
    </row>
    <row r="859">
      <c r="A859" s="71" t="n"/>
      <c r="B859" s="8" t="n"/>
      <c r="C859" s="8" t="n"/>
      <c r="D859" s="8" t="n"/>
      <c r="E859" s="14" t="n"/>
      <c r="F859" s="8" t="n"/>
      <c r="G859" s="72">
        <f>IF(A859&lt;&gt;"",TEXT(A859,"YYYY-MM"),"")</f>
        <v/>
      </c>
    </row>
    <row r="860">
      <c r="A860" s="71" t="n"/>
      <c r="B860" s="8" t="n"/>
      <c r="C860" s="8" t="n"/>
      <c r="D860" s="8" t="n"/>
      <c r="E860" s="14" t="n"/>
      <c r="F860" s="8" t="n"/>
      <c r="G860" s="72">
        <f>IF(A860&lt;&gt;"",TEXT(A860,"YYYY-MM"),"")</f>
        <v/>
      </c>
    </row>
    <row r="861">
      <c r="A861" s="71" t="n"/>
      <c r="B861" s="8" t="n"/>
      <c r="C861" s="8" t="n"/>
      <c r="D861" s="8" t="n"/>
      <c r="E861" s="14" t="n"/>
      <c r="F861" s="8" t="n"/>
      <c r="G861" s="72">
        <f>IF(A861&lt;&gt;"",TEXT(A861,"YYYY-MM"),"")</f>
        <v/>
      </c>
    </row>
    <row r="862">
      <c r="A862" s="71" t="n"/>
      <c r="B862" s="8" t="n"/>
      <c r="C862" s="8" t="n"/>
      <c r="D862" s="8" t="n"/>
      <c r="E862" s="14" t="n"/>
      <c r="F862" s="8" t="n"/>
      <c r="G862" s="72">
        <f>IF(A862&lt;&gt;"",TEXT(A862,"YYYY-MM"),"")</f>
        <v/>
      </c>
    </row>
    <row r="863">
      <c r="A863" s="71" t="n"/>
      <c r="B863" s="8" t="n"/>
      <c r="C863" s="8" t="n"/>
      <c r="D863" s="8" t="n"/>
      <c r="E863" s="14" t="n"/>
      <c r="F863" s="8" t="n"/>
      <c r="G863" s="72">
        <f>IF(A863&lt;&gt;"",TEXT(A863,"YYYY-MM"),"")</f>
        <v/>
      </c>
    </row>
    <row r="864">
      <c r="A864" s="71" t="n"/>
      <c r="B864" s="8" t="n"/>
      <c r="C864" s="8" t="n"/>
      <c r="D864" s="8" t="n"/>
      <c r="E864" s="14" t="n"/>
      <c r="F864" s="8" t="n"/>
      <c r="G864" s="72">
        <f>IF(A864&lt;&gt;"",TEXT(A864,"YYYY-MM"),"")</f>
        <v/>
      </c>
    </row>
    <row r="865">
      <c r="A865" s="71" t="n"/>
      <c r="B865" s="8" t="n"/>
      <c r="C865" s="8" t="n"/>
      <c r="D865" s="8" t="n"/>
      <c r="E865" s="14" t="n"/>
      <c r="F865" s="8" t="n"/>
      <c r="G865" s="72">
        <f>IF(A865&lt;&gt;"",TEXT(A865,"YYYY-MM"),"")</f>
        <v/>
      </c>
    </row>
    <row r="866">
      <c r="A866" s="71" t="n"/>
      <c r="B866" s="8" t="n"/>
      <c r="C866" s="8" t="n"/>
      <c r="D866" s="8" t="n"/>
      <c r="E866" s="14" t="n"/>
      <c r="F866" s="8" t="n"/>
      <c r="G866" s="72">
        <f>IF(A866&lt;&gt;"",TEXT(A866,"YYYY-MM"),"")</f>
        <v/>
      </c>
    </row>
    <row r="867">
      <c r="A867" s="71" t="n"/>
      <c r="B867" s="8" t="n"/>
      <c r="C867" s="8" t="n"/>
      <c r="D867" s="8" t="n"/>
      <c r="E867" s="14" t="n"/>
      <c r="F867" s="8" t="n"/>
      <c r="G867" s="72">
        <f>IF(A867&lt;&gt;"",TEXT(A867,"YYYY-MM"),"")</f>
        <v/>
      </c>
    </row>
    <row r="868">
      <c r="A868" s="71" t="n"/>
      <c r="B868" s="8" t="n"/>
      <c r="C868" s="8" t="n"/>
      <c r="D868" s="8" t="n"/>
      <c r="E868" s="14" t="n"/>
      <c r="F868" s="8" t="n"/>
      <c r="G868" s="72">
        <f>IF(A868&lt;&gt;"",TEXT(A868,"YYYY-MM"),"")</f>
        <v/>
      </c>
    </row>
    <row r="869">
      <c r="A869" s="71" t="n"/>
      <c r="B869" s="8" t="n"/>
      <c r="C869" s="8" t="n"/>
      <c r="D869" s="8" t="n"/>
      <c r="E869" s="14" t="n"/>
      <c r="F869" s="8" t="n"/>
      <c r="G869" s="72">
        <f>IF(A869&lt;&gt;"",TEXT(A869,"YYYY-MM"),"")</f>
        <v/>
      </c>
    </row>
    <row r="870">
      <c r="A870" s="71" t="n"/>
      <c r="B870" s="8" t="n"/>
      <c r="C870" s="8" t="n"/>
      <c r="D870" s="8" t="n"/>
      <c r="E870" s="14" t="n"/>
      <c r="F870" s="8" t="n"/>
      <c r="G870" s="72">
        <f>IF(A870&lt;&gt;"",TEXT(A870,"YYYY-MM"),"")</f>
        <v/>
      </c>
    </row>
    <row r="871">
      <c r="A871" s="71" t="n"/>
      <c r="B871" s="8" t="n"/>
      <c r="C871" s="8" t="n"/>
      <c r="D871" s="8" t="n"/>
      <c r="E871" s="14" t="n"/>
      <c r="F871" s="8" t="n"/>
      <c r="G871" s="72">
        <f>IF(A871&lt;&gt;"",TEXT(A871,"YYYY-MM"),"")</f>
        <v/>
      </c>
    </row>
    <row r="872">
      <c r="A872" s="71" t="n"/>
      <c r="B872" s="8" t="n"/>
      <c r="C872" s="8" t="n"/>
      <c r="D872" s="8" t="n"/>
      <c r="E872" s="14" t="n"/>
      <c r="F872" s="8" t="n"/>
      <c r="G872" s="72">
        <f>IF(A872&lt;&gt;"",TEXT(A872,"YYYY-MM"),"")</f>
        <v/>
      </c>
    </row>
    <row r="873">
      <c r="A873" s="71" t="n"/>
      <c r="B873" s="8" t="n"/>
      <c r="C873" s="8" t="n"/>
      <c r="D873" s="8" t="n"/>
      <c r="E873" s="14" t="n"/>
      <c r="F873" s="8" t="n"/>
      <c r="G873" s="72">
        <f>IF(A873&lt;&gt;"",TEXT(A873,"YYYY-MM"),"")</f>
        <v/>
      </c>
    </row>
    <row r="874">
      <c r="A874" s="71" t="n"/>
      <c r="B874" s="8" t="n"/>
      <c r="C874" s="8" t="n"/>
      <c r="D874" s="8" t="n"/>
      <c r="E874" s="14" t="n"/>
      <c r="F874" s="8" t="n"/>
      <c r="G874" s="72">
        <f>IF(A874&lt;&gt;"",TEXT(A874,"YYYY-MM"),"")</f>
        <v/>
      </c>
    </row>
    <row r="875">
      <c r="A875" s="71" t="n"/>
      <c r="B875" s="8" t="n"/>
      <c r="C875" s="8" t="n"/>
      <c r="D875" s="8" t="n"/>
      <c r="E875" s="14" t="n"/>
      <c r="F875" s="8" t="n"/>
      <c r="G875" s="72">
        <f>IF(A875&lt;&gt;"",TEXT(A875,"YYYY-MM"),"")</f>
        <v/>
      </c>
    </row>
    <row r="876">
      <c r="A876" s="71" t="n"/>
      <c r="B876" s="8" t="n"/>
      <c r="C876" s="8" t="n"/>
      <c r="D876" s="8" t="n"/>
      <c r="E876" s="14" t="n"/>
      <c r="F876" s="8" t="n"/>
      <c r="G876" s="72">
        <f>IF(A876&lt;&gt;"",TEXT(A876,"YYYY-MM"),"")</f>
        <v/>
      </c>
    </row>
    <row r="877">
      <c r="A877" s="71" t="n"/>
      <c r="B877" s="8" t="n"/>
      <c r="C877" s="8" t="n"/>
      <c r="D877" s="8" t="n"/>
      <c r="E877" s="14" t="n"/>
      <c r="F877" s="8" t="n"/>
      <c r="G877" s="72">
        <f>IF(A877&lt;&gt;"",TEXT(A877,"YYYY-MM"),"")</f>
        <v/>
      </c>
    </row>
    <row r="878">
      <c r="A878" s="71" t="n"/>
      <c r="B878" s="8" t="n"/>
      <c r="C878" s="8" t="n"/>
      <c r="D878" s="8" t="n"/>
      <c r="E878" s="14" t="n"/>
      <c r="F878" s="8" t="n"/>
      <c r="G878" s="72">
        <f>IF(A878&lt;&gt;"",TEXT(A878,"YYYY-MM"),"")</f>
        <v/>
      </c>
    </row>
    <row r="879">
      <c r="A879" s="71" t="n"/>
      <c r="B879" s="8" t="n"/>
      <c r="C879" s="8" t="n"/>
      <c r="D879" s="8" t="n"/>
      <c r="E879" s="14" t="n"/>
      <c r="F879" s="8" t="n"/>
      <c r="G879" s="72">
        <f>IF(A879&lt;&gt;"",TEXT(A879,"YYYY-MM"),"")</f>
        <v/>
      </c>
    </row>
    <row r="880">
      <c r="A880" s="71" t="n"/>
      <c r="B880" s="8" t="n"/>
      <c r="C880" s="8" t="n"/>
      <c r="D880" s="8" t="n"/>
      <c r="E880" s="14" t="n"/>
      <c r="F880" s="8" t="n"/>
      <c r="G880" s="72">
        <f>IF(A880&lt;&gt;"",TEXT(A880,"YYYY-MM"),"")</f>
        <v/>
      </c>
    </row>
    <row r="881">
      <c r="A881" s="71" t="n"/>
      <c r="B881" s="8" t="n"/>
      <c r="C881" s="8" t="n"/>
      <c r="D881" s="8" t="n"/>
      <c r="E881" s="14" t="n"/>
      <c r="F881" s="8" t="n"/>
      <c r="G881" s="72">
        <f>IF(A881&lt;&gt;"",TEXT(A881,"YYYY-MM"),"")</f>
        <v/>
      </c>
    </row>
    <row r="882">
      <c r="A882" s="71" t="n"/>
      <c r="B882" s="8" t="n"/>
      <c r="C882" s="8" t="n"/>
      <c r="D882" s="8" t="n"/>
      <c r="E882" s="14" t="n"/>
      <c r="F882" s="8" t="n"/>
      <c r="G882" s="72">
        <f>IF(A882&lt;&gt;"",TEXT(A882,"YYYY-MM"),"")</f>
        <v/>
      </c>
    </row>
    <row r="883">
      <c r="A883" s="71" t="n"/>
      <c r="B883" s="8" t="n"/>
      <c r="C883" s="8" t="n"/>
      <c r="D883" s="8" t="n"/>
      <c r="E883" s="14" t="n"/>
      <c r="F883" s="8" t="n"/>
      <c r="G883" s="72">
        <f>IF(A883&lt;&gt;"",TEXT(A883,"YYYY-MM"),"")</f>
        <v/>
      </c>
    </row>
    <row r="884">
      <c r="A884" s="71" t="n"/>
      <c r="B884" s="8" t="n"/>
      <c r="C884" s="8" t="n"/>
      <c r="D884" s="8" t="n"/>
      <c r="E884" s="14" t="n"/>
      <c r="F884" s="8" t="n"/>
      <c r="G884" s="72">
        <f>IF(A884&lt;&gt;"",TEXT(A884,"YYYY-MM"),"")</f>
        <v/>
      </c>
    </row>
    <row r="885">
      <c r="A885" s="71" t="n"/>
      <c r="B885" s="8" t="n"/>
      <c r="C885" s="8" t="n"/>
      <c r="D885" s="8" t="n"/>
      <c r="E885" s="14" t="n"/>
      <c r="F885" s="8" t="n"/>
      <c r="G885" s="72">
        <f>IF(A885&lt;&gt;"",TEXT(A885,"YYYY-MM"),"")</f>
        <v/>
      </c>
    </row>
    <row r="886">
      <c r="A886" s="71" t="n"/>
      <c r="B886" s="8" t="n"/>
      <c r="C886" s="8" t="n"/>
      <c r="D886" s="8" t="n"/>
      <c r="E886" s="14" t="n"/>
      <c r="F886" s="8" t="n"/>
      <c r="G886" s="72">
        <f>IF(A886&lt;&gt;"",TEXT(A886,"YYYY-MM"),"")</f>
        <v/>
      </c>
    </row>
    <row r="887">
      <c r="A887" s="71" t="n"/>
      <c r="B887" s="8" t="n"/>
      <c r="C887" s="8" t="n"/>
      <c r="D887" s="8" t="n"/>
      <c r="E887" s="14" t="n"/>
      <c r="F887" s="8" t="n"/>
      <c r="G887" s="72">
        <f>IF(A887&lt;&gt;"",TEXT(A887,"YYYY-MM"),"")</f>
        <v/>
      </c>
    </row>
    <row r="888">
      <c r="A888" s="71" t="n"/>
      <c r="B888" s="8" t="n"/>
      <c r="C888" s="8" t="n"/>
      <c r="D888" s="8" t="n"/>
      <c r="E888" s="14" t="n"/>
      <c r="F888" s="8" t="n"/>
      <c r="G888" s="72">
        <f>IF(A888&lt;&gt;"",TEXT(A888,"YYYY-MM"),"")</f>
        <v/>
      </c>
    </row>
    <row r="889">
      <c r="A889" s="71" t="n"/>
      <c r="B889" s="8" t="n"/>
      <c r="C889" s="8" t="n"/>
      <c r="D889" s="8" t="n"/>
      <c r="E889" s="14" t="n"/>
      <c r="F889" s="8" t="n"/>
      <c r="G889" s="72">
        <f>IF(A889&lt;&gt;"",TEXT(A889,"YYYY-MM"),"")</f>
        <v/>
      </c>
    </row>
    <row r="890">
      <c r="A890" s="71" t="n"/>
      <c r="B890" s="8" t="n"/>
      <c r="C890" s="8" t="n"/>
      <c r="D890" s="8" t="n"/>
      <c r="E890" s="14" t="n"/>
      <c r="F890" s="8" t="n"/>
      <c r="G890" s="72">
        <f>IF(A890&lt;&gt;"",TEXT(A890,"YYYY-MM"),"")</f>
        <v/>
      </c>
    </row>
    <row r="891">
      <c r="A891" s="71" t="n"/>
      <c r="B891" s="8" t="n"/>
      <c r="C891" s="8" t="n"/>
      <c r="D891" s="8" t="n"/>
      <c r="E891" s="14" t="n"/>
      <c r="F891" s="8" t="n"/>
      <c r="G891" s="72">
        <f>IF(A891&lt;&gt;"",TEXT(A891,"YYYY-MM"),"")</f>
        <v/>
      </c>
    </row>
    <row r="892">
      <c r="A892" s="71" t="n"/>
      <c r="B892" s="8" t="n"/>
      <c r="C892" s="8" t="n"/>
      <c r="D892" s="8" t="n"/>
      <c r="E892" s="14" t="n"/>
      <c r="F892" s="8" t="n"/>
      <c r="G892" s="72">
        <f>IF(A892&lt;&gt;"",TEXT(A892,"YYYY-MM"),"")</f>
        <v/>
      </c>
    </row>
    <row r="893">
      <c r="A893" s="71" t="n"/>
      <c r="B893" s="8" t="n"/>
      <c r="C893" s="8" t="n"/>
      <c r="D893" s="8" t="n"/>
      <c r="E893" s="14" t="n"/>
      <c r="F893" s="8" t="n"/>
      <c r="G893" s="72">
        <f>IF(A893&lt;&gt;"",TEXT(A893,"YYYY-MM"),"")</f>
        <v/>
      </c>
    </row>
    <row r="894">
      <c r="A894" s="71" t="n"/>
      <c r="B894" s="8" t="n"/>
      <c r="C894" s="8" t="n"/>
      <c r="D894" s="8" t="n"/>
      <c r="E894" s="14" t="n"/>
      <c r="F894" s="8" t="n"/>
      <c r="G894" s="72">
        <f>IF(A894&lt;&gt;"",TEXT(A894,"YYYY-MM"),"")</f>
        <v/>
      </c>
    </row>
    <row r="895">
      <c r="A895" s="71" t="n"/>
      <c r="B895" s="8" t="n"/>
      <c r="C895" s="8" t="n"/>
      <c r="D895" s="8" t="n"/>
      <c r="E895" s="14" t="n"/>
      <c r="F895" s="8" t="n"/>
      <c r="G895" s="72">
        <f>IF(A895&lt;&gt;"",TEXT(A895,"YYYY-MM"),"")</f>
        <v/>
      </c>
    </row>
    <row r="896">
      <c r="A896" s="71" t="n"/>
      <c r="B896" s="8" t="n"/>
      <c r="C896" s="8" t="n"/>
      <c r="D896" s="8" t="n"/>
      <c r="E896" s="14" t="n"/>
      <c r="F896" s="8" t="n"/>
      <c r="G896" s="72">
        <f>IF(A896&lt;&gt;"",TEXT(A896,"YYYY-MM"),"")</f>
        <v/>
      </c>
    </row>
    <row r="897">
      <c r="A897" s="71" t="n"/>
      <c r="B897" s="8" t="n"/>
      <c r="C897" s="8" t="n"/>
      <c r="D897" s="8" t="n"/>
      <c r="E897" s="14" t="n"/>
      <c r="F897" s="8" t="n"/>
      <c r="G897" s="72">
        <f>IF(A897&lt;&gt;"",TEXT(A897,"YYYY-MM"),"")</f>
        <v/>
      </c>
    </row>
    <row r="898">
      <c r="A898" s="71" t="n"/>
      <c r="B898" s="8" t="n"/>
      <c r="C898" s="8" t="n"/>
      <c r="D898" s="8" t="n"/>
      <c r="E898" s="14" t="n"/>
      <c r="F898" s="8" t="n"/>
      <c r="G898" s="72">
        <f>IF(A898&lt;&gt;"",TEXT(A898,"YYYY-MM"),"")</f>
        <v/>
      </c>
    </row>
    <row r="899">
      <c r="A899" s="71" t="n"/>
      <c r="B899" s="8" t="n"/>
      <c r="C899" s="8" t="n"/>
      <c r="D899" s="8" t="n"/>
      <c r="E899" s="14" t="n"/>
      <c r="F899" s="8" t="n"/>
      <c r="G899" s="72">
        <f>IF(A899&lt;&gt;"",TEXT(A899,"YYYY-MM"),"")</f>
        <v/>
      </c>
    </row>
    <row r="900">
      <c r="A900" s="71" t="n"/>
      <c r="B900" s="8" t="n"/>
      <c r="C900" s="8" t="n"/>
      <c r="D900" s="8" t="n"/>
      <c r="E900" s="14" t="n"/>
      <c r="F900" s="8" t="n"/>
      <c r="G900" s="72">
        <f>IF(A900&lt;&gt;"",TEXT(A900,"YYYY-MM"),"")</f>
        <v/>
      </c>
    </row>
    <row r="901">
      <c r="A901" s="71" t="n"/>
      <c r="B901" s="8" t="n"/>
      <c r="C901" s="8" t="n"/>
      <c r="D901" s="8" t="n"/>
      <c r="E901" s="14" t="n"/>
      <c r="F901" s="8" t="n"/>
      <c r="G901" s="72">
        <f>IF(A901&lt;&gt;"",TEXT(A901,"YYYY-MM"),"")</f>
        <v/>
      </c>
    </row>
    <row r="902">
      <c r="A902" s="71" t="n"/>
      <c r="B902" s="8" t="n"/>
      <c r="C902" s="8" t="n"/>
      <c r="D902" s="8" t="n"/>
      <c r="E902" s="14" t="n"/>
      <c r="F902" s="8" t="n"/>
      <c r="G902" s="72">
        <f>IF(A902&lt;&gt;"",TEXT(A902,"YYYY-MM"),"")</f>
        <v/>
      </c>
    </row>
    <row r="903">
      <c r="A903" s="71" t="n"/>
      <c r="B903" s="8" t="n"/>
      <c r="C903" s="8" t="n"/>
      <c r="D903" s="8" t="n"/>
      <c r="E903" s="14" t="n"/>
      <c r="F903" s="8" t="n"/>
      <c r="G903" s="72">
        <f>IF(A903&lt;&gt;"",TEXT(A903,"YYYY-MM"),"")</f>
        <v/>
      </c>
    </row>
    <row r="904">
      <c r="A904" s="71" t="n"/>
      <c r="B904" s="8" t="n"/>
      <c r="C904" s="8" t="n"/>
      <c r="D904" s="8" t="n"/>
      <c r="E904" s="14" t="n"/>
      <c r="F904" s="8" t="n"/>
      <c r="G904" s="72">
        <f>IF(A904&lt;&gt;"",TEXT(A904,"YYYY-MM"),"")</f>
        <v/>
      </c>
    </row>
    <row r="905">
      <c r="A905" s="71" t="n"/>
      <c r="B905" s="8" t="n"/>
      <c r="C905" s="8" t="n"/>
      <c r="D905" s="8" t="n"/>
      <c r="E905" s="14" t="n"/>
      <c r="F905" s="8" t="n"/>
      <c r="G905" s="72">
        <f>IF(A905&lt;&gt;"",TEXT(A905,"YYYY-MM"),"")</f>
        <v/>
      </c>
    </row>
    <row r="906">
      <c r="A906" s="71" t="n"/>
      <c r="B906" s="8" t="n"/>
      <c r="C906" s="8" t="n"/>
      <c r="D906" s="8" t="n"/>
      <c r="E906" s="14" t="n"/>
      <c r="F906" s="8" t="n"/>
      <c r="G906" s="72">
        <f>IF(A906&lt;&gt;"",TEXT(A906,"YYYY-MM"),"")</f>
        <v/>
      </c>
    </row>
    <row r="907">
      <c r="A907" s="71" t="n"/>
      <c r="B907" s="8" t="n"/>
      <c r="C907" s="8" t="n"/>
      <c r="D907" s="8" t="n"/>
      <c r="E907" s="14" t="n"/>
      <c r="F907" s="8" t="n"/>
      <c r="G907" s="72">
        <f>IF(A907&lt;&gt;"",TEXT(A907,"YYYY-MM"),"")</f>
        <v/>
      </c>
    </row>
    <row r="908">
      <c r="A908" s="71" t="n"/>
      <c r="B908" s="8" t="n"/>
      <c r="C908" s="8" t="n"/>
      <c r="D908" s="8" t="n"/>
      <c r="E908" s="14" t="n"/>
      <c r="F908" s="8" t="n"/>
      <c r="G908" s="72">
        <f>IF(A908&lt;&gt;"",TEXT(A908,"YYYY-MM"),"")</f>
        <v/>
      </c>
    </row>
    <row r="909">
      <c r="A909" s="71" t="n"/>
      <c r="B909" s="8" t="n"/>
      <c r="C909" s="8" t="n"/>
      <c r="D909" s="8" t="n"/>
      <c r="E909" s="14" t="n"/>
      <c r="F909" s="8" t="n"/>
      <c r="G909" s="72">
        <f>IF(A909&lt;&gt;"",TEXT(A909,"YYYY-MM"),"")</f>
        <v/>
      </c>
    </row>
    <row r="910">
      <c r="A910" s="71" t="n"/>
      <c r="B910" s="8" t="n"/>
      <c r="C910" s="8" t="n"/>
      <c r="D910" s="8" t="n"/>
      <c r="E910" s="14" t="n"/>
      <c r="F910" s="8" t="n"/>
      <c r="G910" s="72">
        <f>IF(A910&lt;&gt;"",TEXT(A910,"YYYY-MM"),"")</f>
        <v/>
      </c>
    </row>
    <row r="911">
      <c r="A911" s="71" t="n"/>
      <c r="B911" s="8" t="n"/>
      <c r="C911" s="8" t="n"/>
      <c r="D911" s="8" t="n"/>
      <c r="E911" s="14" t="n"/>
      <c r="F911" s="8" t="n"/>
      <c r="G911" s="72">
        <f>IF(A911&lt;&gt;"",TEXT(A911,"YYYY-MM"),"")</f>
        <v/>
      </c>
    </row>
    <row r="912">
      <c r="A912" s="71" t="n"/>
      <c r="B912" s="8" t="n"/>
      <c r="C912" s="8" t="n"/>
      <c r="D912" s="8" t="n"/>
      <c r="E912" s="14" t="n"/>
      <c r="F912" s="8" t="n"/>
      <c r="G912" s="72">
        <f>IF(A912&lt;&gt;"",TEXT(A912,"YYYY-MM"),"")</f>
        <v/>
      </c>
    </row>
    <row r="913">
      <c r="A913" s="71" t="n"/>
      <c r="B913" s="8" t="n"/>
      <c r="C913" s="8" t="n"/>
      <c r="D913" s="8" t="n"/>
      <c r="E913" s="14" t="n"/>
      <c r="F913" s="8" t="n"/>
      <c r="G913" s="72">
        <f>IF(A913&lt;&gt;"",TEXT(A913,"YYYY-MM"),"")</f>
        <v/>
      </c>
    </row>
    <row r="914">
      <c r="A914" s="71" t="n"/>
      <c r="B914" s="8" t="n"/>
      <c r="C914" s="8" t="n"/>
      <c r="D914" s="8" t="n"/>
      <c r="E914" s="14" t="n"/>
      <c r="F914" s="8" t="n"/>
      <c r="G914" s="72">
        <f>IF(A914&lt;&gt;"",TEXT(A914,"YYYY-MM"),"")</f>
        <v/>
      </c>
    </row>
    <row r="915">
      <c r="A915" s="71" t="n"/>
      <c r="B915" s="8" t="n"/>
      <c r="C915" s="8" t="n"/>
      <c r="D915" s="8" t="n"/>
      <c r="E915" s="14" t="n"/>
      <c r="F915" s="8" t="n"/>
      <c r="G915" s="72">
        <f>IF(A915&lt;&gt;"",TEXT(A915,"YYYY-MM"),"")</f>
        <v/>
      </c>
    </row>
    <row r="916">
      <c r="A916" s="71" t="n"/>
      <c r="B916" s="8" t="n"/>
      <c r="C916" s="8" t="n"/>
      <c r="D916" s="8" t="n"/>
      <c r="E916" s="14" t="n"/>
      <c r="F916" s="8" t="n"/>
      <c r="G916" s="72">
        <f>IF(A916&lt;&gt;"",TEXT(A916,"YYYY-MM"),"")</f>
        <v/>
      </c>
    </row>
    <row r="917">
      <c r="A917" s="71" t="n"/>
      <c r="B917" s="8" t="n"/>
      <c r="C917" s="8" t="n"/>
      <c r="D917" s="8" t="n"/>
      <c r="E917" s="14" t="n"/>
      <c r="F917" s="8" t="n"/>
      <c r="G917" s="72">
        <f>IF(A917&lt;&gt;"",TEXT(A917,"YYYY-MM"),"")</f>
        <v/>
      </c>
    </row>
    <row r="918">
      <c r="A918" s="71" t="n"/>
      <c r="B918" s="8" t="n"/>
      <c r="C918" s="8" t="n"/>
      <c r="D918" s="8" t="n"/>
      <c r="E918" s="14" t="n"/>
      <c r="F918" s="8" t="n"/>
      <c r="G918" s="72">
        <f>IF(A918&lt;&gt;"",TEXT(A918,"YYYY-MM"),"")</f>
        <v/>
      </c>
    </row>
    <row r="919">
      <c r="A919" s="71" t="n"/>
      <c r="B919" s="8" t="n"/>
      <c r="C919" s="8" t="n"/>
      <c r="D919" s="8" t="n"/>
      <c r="E919" s="14" t="n"/>
      <c r="F919" s="8" t="n"/>
      <c r="G919" s="72">
        <f>IF(A919&lt;&gt;"",TEXT(A919,"YYYY-MM"),"")</f>
        <v/>
      </c>
    </row>
    <row r="920">
      <c r="A920" s="71" t="n"/>
      <c r="B920" s="8" t="n"/>
      <c r="C920" s="8" t="n"/>
      <c r="D920" s="8" t="n"/>
      <c r="E920" s="14" t="n"/>
      <c r="F920" s="8" t="n"/>
      <c r="G920" s="72">
        <f>IF(A920&lt;&gt;"",TEXT(A920,"YYYY-MM"),"")</f>
        <v/>
      </c>
    </row>
    <row r="921">
      <c r="A921" s="71" t="n"/>
      <c r="B921" s="8" t="n"/>
      <c r="C921" s="8" t="n"/>
      <c r="D921" s="8" t="n"/>
      <c r="E921" s="14" t="n"/>
      <c r="F921" s="8" t="n"/>
      <c r="G921" s="72">
        <f>IF(A921&lt;&gt;"",TEXT(A921,"YYYY-MM"),"")</f>
        <v/>
      </c>
    </row>
    <row r="922">
      <c r="A922" s="71" t="n"/>
      <c r="B922" s="8" t="n"/>
      <c r="C922" s="8" t="n"/>
      <c r="D922" s="8" t="n"/>
      <c r="E922" s="14" t="n"/>
      <c r="F922" s="8" t="n"/>
      <c r="G922" s="72">
        <f>IF(A922&lt;&gt;"",TEXT(A922,"YYYY-MM"),"")</f>
        <v/>
      </c>
    </row>
    <row r="923">
      <c r="A923" s="71" t="n"/>
      <c r="B923" s="8" t="n"/>
      <c r="C923" s="8" t="n"/>
      <c r="D923" s="8" t="n"/>
      <c r="E923" s="14" t="n"/>
      <c r="F923" s="8" t="n"/>
      <c r="G923" s="72">
        <f>IF(A923&lt;&gt;"",TEXT(A923,"YYYY-MM"),"")</f>
        <v/>
      </c>
    </row>
    <row r="924">
      <c r="A924" s="71" t="n"/>
      <c r="B924" s="8" t="n"/>
      <c r="C924" s="8" t="n"/>
      <c r="D924" s="8" t="n"/>
      <c r="E924" s="14" t="n"/>
      <c r="F924" s="8" t="n"/>
      <c r="G924" s="72">
        <f>IF(A924&lt;&gt;"",TEXT(A924,"YYYY-MM"),"")</f>
        <v/>
      </c>
    </row>
    <row r="925">
      <c r="A925" s="71" t="n"/>
      <c r="B925" s="8" t="n"/>
      <c r="C925" s="8" t="n"/>
      <c r="D925" s="8" t="n"/>
      <c r="E925" s="14" t="n"/>
      <c r="F925" s="8" t="n"/>
      <c r="G925" s="72">
        <f>IF(A925&lt;&gt;"",TEXT(A925,"YYYY-MM"),"")</f>
        <v/>
      </c>
    </row>
    <row r="926">
      <c r="A926" s="71" t="n"/>
      <c r="B926" s="8" t="n"/>
      <c r="C926" s="8" t="n"/>
      <c r="D926" s="8" t="n"/>
      <c r="E926" s="14" t="n"/>
      <c r="F926" s="8" t="n"/>
      <c r="G926" s="72">
        <f>IF(A926&lt;&gt;"",TEXT(A926,"YYYY-MM"),"")</f>
        <v/>
      </c>
    </row>
    <row r="927">
      <c r="A927" s="71" t="n"/>
      <c r="B927" s="8" t="n"/>
      <c r="C927" s="8" t="n"/>
      <c r="D927" s="8" t="n"/>
      <c r="E927" s="14" t="n"/>
      <c r="F927" s="8" t="n"/>
      <c r="G927" s="72">
        <f>IF(A927&lt;&gt;"",TEXT(A927,"YYYY-MM"),"")</f>
        <v/>
      </c>
    </row>
    <row r="928">
      <c r="A928" s="71" t="n"/>
      <c r="B928" s="8" t="n"/>
      <c r="C928" s="8" t="n"/>
      <c r="D928" s="8" t="n"/>
      <c r="E928" s="14" t="n"/>
      <c r="F928" s="8" t="n"/>
      <c r="G928" s="72">
        <f>IF(A928&lt;&gt;"",TEXT(A928,"YYYY-MM"),"")</f>
        <v/>
      </c>
    </row>
    <row r="929">
      <c r="A929" s="71" t="n"/>
      <c r="B929" s="8" t="n"/>
      <c r="C929" s="8" t="n"/>
      <c r="D929" s="8" t="n"/>
      <c r="E929" s="14" t="n"/>
      <c r="F929" s="8" t="n"/>
      <c r="G929" s="72">
        <f>IF(A929&lt;&gt;"",TEXT(A929,"YYYY-MM"),"")</f>
        <v/>
      </c>
    </row>
    <row r="930">
      <c r="A930" s="71" t="n"/>
      <c r="B930" s="8" t="n"/>
      <c r="C930" s="8" t="n"/>
      <c r="D930" s="8" t="n"/>
      <c r="E930" s="14" t="n"/>
      <c r="F930" s="8" t="n"/>
      <c r="G930" s="72">
        <f>IF(A930&lt;&gt;"",TEXT(A930,"YYYY-MM"),"")</f>
        <v/>
      </c>
    </row>
    <row r="931">
      <c r="A931" s="71" t="n"/>
      <c r="B931" s="8" t="n"/>
      <c r="C931" s="8" t="n"/>
      <c r="D931" s="8" t="n"/>
      <c r="E931" s="14" t="n"/>
      <c r="F931" s="8" t="n"/>
      <c r="G931" s="72">
        <f>IF(A931&lt;&gt;"",TEXT(A931,"YYYY-MM"),"")</f>
        <v/>
      </c>
    </row>
    <row r="932">
      <c r="A932" s="71" t="n"/>
      <c r="B932" s="8" t="n"/>
      <c r="C932" s="8" t="n"/>
      <c r="D932" s="8" t="n"/>
      <c r="E932" s="14" t="n"/>
      <c r="F932" s="8" t="n"/>
      <c r="G932" s="72">
        <f>IF(A932&lt;&gt;"",TEXT(A932,"YYYY-MM"),"")</f>
        <v/>
      </c>
    </row>
    <row r="933">
      <c r="A933" s="71" t="n"/>
      <c r="B933" s="8" t="n"/>
      <c r="C933" s="8" t="n"/>
      <c r="D933" s="8" t="n"/>
      <c r="E933" s="14" t="n"/>
      <c r="F933" s="8" t="n"/>
      <c r="G933" s="72">
        <f>IF(A933&lt;&gt;"",TEXT(A933,"YYYY-MM"),"")</f>
        <v/>
      </c>
    </row>
    <row r="934">
      <c r="A934" s="71" t="n"/>
      <c r="B934" s="8" t="n"/>
      <c r="C934" s="8" t="n"/>
      <c r="D934" s="8" t="n"/>
      <c r="E934" s="14" t="n"/>
      <c r="F934" s="8" t="n"/>
      <c r="G934" s="72">
        <f>IF(A934&lt;&gt;"",TEXT(A934,"YYYY-MM"),"")</f>
        <v/>
      </c>
    </row>
    <row r="935">
      <c r="A935" s="71" t="n"/>
      <c r="B935" s="8" t="n"/>
      <c r="C935" s="8" t="n"/>
      <c r="D935" s="8" t="n"/>
      <c r="E935" s="14" t="n"/>
      <c r="F935" s="8" t="n"/>
      <c r="G935" s="72">
        <f>IF(A935&lt;&gt;"",TEXT(A935,"YYYY-MM"),"")</f>
        <v/>
      </c>
    </row>
    <row r="936">
      <c r="A936" s="71" t="n"/>
      <c r="B936" s="8" t="n"/>
      <c r="C936" s="8" t="n"/>
      <c r="D936" s="8" t="n"/>
      <c r="E936" s="14" t="n"/>
      <c r="F936" s="8" t="n"/>
      <c r="G936" s="72">
        <f>IF(A936&lt;&gt;"",TEXT(A936,"YYYY-MM"),"")</f>
        <v/>
      </c>
    </row>
    <row r="937">
      <c r="A937" s="71" t="n"/>
      <c r="B937" s="8" t="n"/>
      <c r="C937" s="8" t="n"/>
      <c r="D937" s="8" t="n"/>
      <c r="E937" s="14" t="n"/>
      <c r="F937" s="8" t="n"/>
      <c r="G937" s="72">
        <f>IF(A937&lt;&gt;"",TEXT(A937,"YYYY-MM"),"")</f>
        <v/>
      </c>
    </row>
    <row r="938">
      <c r="A938" s="71" t="n"/>
      <c r="B938" s="8" t="n"/>
      <c r="C938" s="8" t="n"/>
      <c r="D938" s="8" t="n"/>
      <c r="E938" s="14" t="n"/>
      <c r="F938" s="8" t="n"/>
      <c r="G938" s="72">
        <f>IF(A938&lt;&gt;"",TEXT(A938,"YYYY-MM"),"")</f>
        <v/>
      </c>
    </row>
    <row r="939">
      <c r="A939" s="71" t="n"/>
      <c r="B939" s="8" t="n"/>
      <c r="C939" s="8" t="n"/>
      <c r="D939" s="8" t="n"/>
      <c r="E939" s="14" t="n"/>
      <c r="F939" s="8" t="n"/>
      <c r="G939" s="72">
        <f>IF(A939&lt;&gt;"",TEXT(A939,"YYYY-MM"),"")</f>
        <v/>
      </c>
    </row>
    <row r="940">
      <c r="A940" s="71" t="n"/>
      <c r="B940" s="8" t="n"/>
      <c r="C940" s="8" t="n"/>
      <c r="D940" s="8" t="n"/>
      <c r="E940" s="14" t="n"/>
      <c r="F940" s="8" t="n"/>
      <c r="G940" s="72">
        <f>IF(A940&lt;&gt;"",TEXT(A940,"YYYY-MM"),"")</f>
        <v/>
      </c>
    </row>
    <row r="941">
      <c r="A941" s="71" t="n"/>
      <c r="B941" s="8" t="n"/>
      <c r="C941" s="8" t="n"/>
      <c r="D941" s="8" t="n"/>
      <c r="E941" s="14" t="n"/>
      <c r="F941" s="8" t="n"/>
      <c r="G941" s="72">
        <f>IF(A941&lt;&gt;"",TEXT(A941,"YYYY-MM"),"")</f>
        <v/>
      </c>
    </row>
    <row r="942">
      <c r="A942" s="71" t="n"/>
      <c r="B942" s="8" t="n"/>
      <c r="C942" s="8" t="n"/>
      <c r="D942" s="8" t="n"/>
      <c r="E942" s="14" t="n"/>
      <c r="F942" s="8" t="n"/>
      <c r="G942" s="72">
        <f>IF(A942&lt;&gt;"",TEXT(A942,"YYYY-MM"),"")</f>
        <v/>
      </c>
    </row>
    <row r="943">
      <c r="A943" s="71" t="n"/>
      <c r="B943" s="8" t="n"/>
      <c r="C943" s="8" t="n"/>
      <c r="D943" s="8" t="n"/>
      <c r="E943" s="14" t="n"/>
      <c r="F943" s="8" t="n"/>
      <c r="G943" s="72">
        <f>IF(A943&lt;&gt;"",TEXT(A943,"YYYY-MM"),"")</f>
        <v/>
      </c>
    </row>
    <row r="944">
      <c r="A944" s="71" t="n"/>
      <c r="B944" s="8" t="n"/>
      <c r="C944" s="8" t="n"/>
      <c r="D944" s="8" t="n"/>
      <c r="E944" s="14" t="n"/>
      <c r="F944" s="8" t="n"/>
      <c r="G944" s="72">
        <f>IF(A944&lt;&gt;"",TEXT(A944,"YYYY-MM"),"")</f>
        <v/>
      </c>
    </row>
    <row r="945">
      <c r="A945" s="71" t="n"/>
      <c r="B945" s="8" t="n"/>
      <c r="C945" s="8" t="n"/>
      <c r="D945" s="8" t="n"/>
      <c r="E945" s="14" t="n"/>
      <c r="F945" s="8" t="n"/>
      <c r="G945" s="72">
        <f>IF(A945&lt;&gt;"",TEXT(A945,"YYYY-MM"),"")</f>
        <v/>
      </c>
    </row>
    <row r="946">
      <c r="A946" s="71" t="n"/>
      <c r="B946" s="8" t="n"/>
      <c r="C946" s="8" t="n"/>
      <c r="D946" s="8" t="n"/>
      <c r="E946" s="14" t="n"/>
      <c r="F946" s="8" t="n"/>
      <c r="G946" s="72">
        <f>IF(A946&lt;&gt;"",TEXT(A946,"YYYY-MM"),"")</f>
        <v/>
      </c>
    </row>
    <row r="947">
      <c r="A947" s="71" t="n"/>
      <c r="B947" s="8" t="n"/>
      <c r="C947" s="8" t="n"/>
      <c r="D947" s="8" t="n"/>
      <c r="E947" s="14" t="n"/>
      <c r="F947" s="8" t="n"/>
      <c r="G947" s="72">
        <f>IF(A947&lt;&gt;"",TEXT(A947,"YYYY-MM"),"")</f>
        <v/>
      </c>
    </row>
    <row r="948">
      <c r="A948" s="71" t="n"/>
      <c r="B948" s="8" t="n"/>
      <c r="C948" s="8" t="n"/>
      <c r="D948" s="8" t="n"/>
      <c r="E948" s="14" t="n"/>
      <c r="F948" s="8" t="n"/>
      <c r="G948" s="72">
        <f>IF(A948&lt;&gt;"",TEXT(A948,"YYYY-MM"),"")</f>
        <v/>
      </c>
    </row>
    <row r="949">
      <c r="A949" s="71" t="n"/>
      <c r="B949" s="8" t="n"/>
      <c r="C949" s="8" t="n"/>
      <c r="D949" s="8" t="n"/>
      <c r="E949" s="14" t="n"/>
      <c r="F949" s="8" t="n"/>
      <c r="G949" s="72">
        <f>IF(A949&lt;&gt;"",TEXT(A949,"YYYY-MM"),"")</f>
        <v/>
      </c>
    </row>
    <row r="950">
      <c r="A950" s="71" t="n"/>
      <c r="B950" s="8" t="n"/>
      <c r="C950" s="8" t="n"/>
      <c r="D950" s="8" t="n"/>
      <c r="E950" s="14" t="n"/>
      <c r="F950" s="8" t="n"/>
      <c r="G950" s="72">
        <f>IF(A950&lt;&gt;"",TEXT(A950,"YYYY-MM"),"")</f>
        <v/>
      </c>
    </row>
    <row r="951">
      <c r="A951" s="71" t="n"/>
      <c r="B951" s="8" t="n"/>
      <c r="C951" s="8" t="n"/>
      <c r="D951" s="8" t="n"/>
      <c r="E951" s="14" t="n"/>
      <c r="F951" s="8" t="n"/>
      <c r="G951" s="72">
        <f>IF(A951&lt;&gt;"",TEXT(A951,"YYYY-MM"),"")</f>
        <v/>
      </c>
    </row>
    <row r="952">
      <c r="A952" s="71" t="n"/>
      <c r="B952" s="8" t="n"/>
      <c r="C952" s="8" t="n"/>
      <c r="D952" s="8" t="n"/>
      <c r="E952" s="14" t="n"/>
      <c r="F952" s="8" t="n"/>
      <c r="G952" s="72">
        <f>IF(A952&lt;&gt;"",TEXT(A952,"YYYY-MM"),"")</f>
        <v/>
      </c>
    </row>
    <row r="953">
      <c r="A953" s="71" t="n"/>
      <c r="B953" s="8" t="n"/>
      <c r="C953" s="8" t="n"/>
      <c r="D953" s="8" t="n"/>
      <c r="E953" s="14" t="n"/>
      <c r="F953" s="8" t="n"/>
      <c r="G953" s="72">
        <f>IF(A953&lt;&gt;"",TEXT(A953,"YYYY-MM"),"")</f>
        <v/>
      </c>
    </row>
    <row r="954">
      <c r="A954" s="71" t="n"/>
      <c r="B954" s="8" t="n"/>
      <c r="C954" s="8" t="n"/>
      <c r="D954" s="8" t="n"/>
      <c r="E954" s="14" t="n"/>
      <c r="F954" s="8" t="n"/>
      <c r="G954" s="72">
        <f>IF(A954&lt;&gt;"",TEXT(A954,"YYYY-MM"),"")</f>
        <v/>
      </c>
    </row>
    <row r="955">
      <c r="A955" s="71" t="n"/>
      <c r="B955" s="8" t="n"/>
      <c r="C955" s="8" t="n"/>
      <c r="D955" s="8" t="n"/>
      <c r="E955" s="14" t="n"/>
      <c r="F955" s="8" t="n"/>
      <c r="G955" s="72">
        <f>IF(A955&lt;&gt;"",TEXT(A955,"YYYY-MM"),"")</f>
        <v/>
      </c>
    </row>
    <row r="956">
      <c r="A956" s="71" t="n"/>
      <c r="B956" s="8" t="n"/>
      <c r="C956" s="8" t="n"/>
      <c r="D956" s="8" t="n"/>
      <c r="E956" s="14" t="n"/>
      <c r="F956" s="8" t="n"/>
      <c r="G956" s="72">
        <f>IF(A956&lt;&gt;"",TEXT(A956,"YYYY-MM"),"")</f>
        <v/>
      </c>
    </row>
    <row r="957">
      <c r="A957" s="71" t="n"/>
      <c r="B957" s="8" t="n"/>
      <c r="C957" s="8" t="n"/>
      <c r="D957" s="8" t="n"/>
      <c r="E957" s="14" t="n"/>
      <c r="F957" s="8" t="n"/>
      <c r="G957" s="72">
        <f>IF(A957&lt;&gt;"",TEXT(A957,"YYYY-MM"),"")</f>
        <v/>
      </c>
    </row>
    <row r="958">
      <c r="A958" s="71" t="n"/>
      <c r="B958" s="8" t="n"/>
      <c r="C958" s="8" t="n"/>
      <c r="D958" s="8" t="n"/>
      <c r="E958" s="14" t="n"/>
      <c r="F958" s="8" t="n"/>
      <c r="G958" s="72">
        <f>IF(A958&lt;&gt;"",TEXT(A958,"YYYY-MM"),"")</f>
        <v/>
      </c>
    </row>
    <row r="959">
      <c r="A959" s="71" t="n"/>
      <c r="B959" s="8" t="n"/>
      <c r="C959" s="8" t="n"/>
      <c r="D959" s="8" t="n"/>
      <c r="E959" s="14" t="n"/>
      <c r="F959" s="8" t="n"/>
      <c r="G959" s="72">
        <f>IF(A959&lt;&gt;"",TEXT(A959,"YYYY-MM"),"")</f>
        <v/>
      </c>
    </row>
    <row r="960">
      <c r="A960" s="71" t="n"/>
      <c r="B960" s="8" t="n"/>
      <c r="C960" s="8" t="n"/>
      <c r="D960" s="8" t="n"/>
      <c r="E960" s="14" t="n"/>
      <c r="F960" s="8" t="n"/>
      <c r="G960" s="72">
        <f>IF(A960&lt;&gt;"",TEXT(A960,"YYYY-MM"),"")</f>
        <v/>
      </c>
    </row>
    <row r="961">
      <c r="A961" s="71" t="n"/>
      <c r="B961" s="8" t="n"/>
      <c r="C961" s="8" t="n"/>
      <c r="D961" s="8" t="n"/>
      <c r="E961" s="14" t="n"/>
      <c r="F961" s="8" t="n"/>
      <c r="G961" s="72">
        <f>IF(A961&lt;&gt;"",TEXT(A961,"YYYY-MM"),"")</f>
        <v/>
      </c>
    </row>
    <row r="962">
      <c r="A962" s="71" t="n"/>
      <c r="B962" s="8" t="n"/>
      <c r="C962" s="8" t="n"/>
      <c r="D962" s="8" t="n"/>
      <c r="E962" s="14" t="n"/>
      <c r="F962" s="8" t="n"/>
      <c r="G962" s="72">
        <f>IF(A962&lt;&gt;"",TEXT(A962,"YYYY-MM"),"")</f>
        <v/>
      </c>
    </row>
    <row r="963">
      <c r="A963" s="71" t="n"/>
      <c r="B963" s="8" t="n"/>
      <c r="C963" s="8" t="n"/>
      <c r="D963" s="8" t="n"/>
      <c r="E963" s="14" t="n"/>
      <c r="F963" s="8" t="n"/>
      <c r="G963" s="72">
        <f>IF(A963&lt;&gt;"",TEXT(A963,"YYYY-MM"),"")</f>
        <v/>
      </c>
    </row>
    <row r="964">
      <c r="A964" s="71" t="n"/>
      <c r="B964" s="8" t="n"/>
      <c r="C964" s="8" t="n"/>
      <c r="D964" s="8" t="n"/>
      <c r="E964" s="14" t="n"/>
      <c r="F964" s="8" t="n"/>
      <c r="G964" s="72">
        <f>IF(A964&lt;&gt;"",TEXT(A964,"YYYY-MM"),"")</f>
        <v/>
      </c>
    </row>
    <row r="965">
      <c r="A965" s="71" t="n"/>
      <c r="B965" s="8" t="n"/>
      <c r="C965" s="8" t="n"/>
      <c r="D965" s="8" t="n"/>
      <c r="E965" s="14" t="n"/>
      <c r="F965" s="8" t="n"/>
      <c r="G965" s="72">
        <f>IF(A965&lt;&gt;"",TEXT(A965,"YYYY-MM"),"")</f>
        <v/>
      </c>
    </row>
    <row r="966">
      <c r="A966" s="71" t="n"/>
      <c r="B966" s="8" t="n"/>
      <c r="C966" s="8" t="n"/>
      <c r="D966" s="8" t="n"/>
      <c r="E966" s="14" t="n"/>
      <c r="F966" s="8" t="n"/>
      <c r="G966" s="72">
        <f>IF(A966&lt;&gt;"",TEXT(A966,"YYYY-MM"),"")</f>
        <v/>
      </c>
    </row>
    <row r="967">
      <c r="A967" s="71" t="n"/>
      <c r="B967" s="8" t="n"/>
      <c r="C967" s="8" t="n"/>
      <c r="D967" s="8" t="n"/>
      <c r="E967" s="14" t="n"/>
      <c r="F967" s="8" t="n"/>
      <c r="G967" s="72">
        <f>IF(A967&lt;&gt;"",TEXT(A967,"YYYY-MM"),"")</f>
        <v/>
      </c>
    </row>
    <row r="968">
      <c r="A968" s="71" t="n"/>
      <c r="B968" s="8" t="n"/>
      <c r="C968" s="8" t="n"/>
      <c r="D968" s="8" t="n"/>
      <c r="E968" s="14" t="n"/>
      <c r="F968" s="8" t="n"/>
      <c r="G968" s="72">
        <f>IF(A968&lt;&gt;"",TEXT(A968,"YYYY-MM"),"")</f>
        <v/>
      </c>
    </row>
    <row r="969">
      <c r="A969" s="71" t="n"/>
      <c r="B969" s="8" t="n"/>
      <c r="C969" s="8" t="n"/>
      <c r="D969" s="8" t="n"/>
      <c r="E969" s="14" t="n"/>
      <c r="F969" s="8" t="n"/>
      <c r="G969" s="72">
        <f>IF(A969&lt;&gt;"",TEXT(A969,"YYYY-MM"),"")</f>
        <v/>
      </c>
    </row>
    <row r="970">
      <c r="A970" s="71" t="n"/>
      <c r="B970" s="8" t="n"/>
      <c r="C970" s="8" t="n"/>
      <c r="D970" s="8" t="n"/>
      <c r="E970" s="14" t="n"/>
      <c r="F970" s="8" t="n"/>
      <c r="G970" s="72">
        <f>IF(A970&lt;&gt;"",TEXT(A970,"YYYY-MM"),"")</f>
        <v/>
      </c>
    </row>
    <row r="971">
      <c r="A971" s="71" t="n"/>
      <c r="B971" s="8" t="n"/>
      <c r="C971" s="8" t="n"/>
      <c r="D971" s="8" t="n"/>
      <c r="E971" s="14" t="n"/>
      <c r="F971" s="8" t="n"/>
      <c r="G971" s="72">
        <f>IF(A971&lt;&gt;"",TEXT(A971,"YYYY-MM"),"")</f>
        <v/>
      </c>
    </row>
    <row r="972">
      <c r="A972" s="71" t="n"/>
      <c r="B972" s="8" t="n"/>
      <c r="C972" s="8" t="n"/>
      <c r="D972" s="8" t="n"/>
      <c r="E972" s="14" t="n"/>
      <c r="F972" s="8" t="n"/>
      <c r="G972" s="72">
        <f>IF(A972&lt;&gt;"",TEXT(A972,"YYYY-MM"),"")</f>
        <v/>
      </c>
    </row>
    <row r="973">
      <c r="A973" s="71" t="n"/>
      <c r="B973" s="8" t="n"/>
      <c r="C973" s="8" t="n"/>
      <c r="D973" s="8" t="n"/>
      <c r="E973" s="14" t="n"/>
      <c r="F973" s="8" t="n"/>
      <c r="G973" s="72">
        <f>IF(A973&lt;&gt;"",TEXT(A973,"YYYY-MM"),"")</f>
        <v/>
      </c>
    </row>
    <row r="974">
      <c r="A974" s="71" t="n"/>
      <c r="B974" s="8" t="n"/>
      <c r="C974" s="8" t="n"/>
      <c r="D974" s="8" t="n"/>
      <c r="E974" s="14" t="n"/>
      <c r="F974" s="8" t="n"/>
      <c r="G974" s="72">
        <f>IF(A974&lt;&gt;"",TEXT(A974,"YYYY-MM"),"")</f>
        <v/>
      </c>
    </row>
    <row r="975">
      <c r="A975" s="71" t="n"/>
      <c r="B975" s="8" t="n"/>
      <c r="C975" s="8" t="n"/>
      <c r="D975" s="8" t="n"/>
      <c r="E975" s="14" t="n"/>
      <c r="F975" s="8" t="n"/>
      <c r="G975" s="72">
        <f>IF(A975&lt;&gt;"",TEXT(A975,"YYYY-MM"),"")</f>
        <v/>
      </c>
    </row>
    <row r="976">
      <c r="A976" s="71" t="n"/>
      <c r="B976" s="8" t="n"/>
      <c r="C976" s="8" t="n"/>
      <c r="D976" s="8" t="n"/>
      <c r="E976" s="14" t="n"/>
      <c r="F976" s="8" t="n"/>
      <c r="G976" s="72">
        <f>IF(A976&lt;&gt;"",TEXT(A976,"YYYY-MM"),"")</f>
        <v/>
      </c>
    </row>
    <row r="977">
      <c r="A977" s="71" t="n"/>
      <c r="B977" s="8" t="n"/>
      <c r="C977" s="8" t="n"/>
      <c r="D977" s="8" t="n"/>
      <c r="E977" s="14" t="n"/>
      <c r="F977" s="8" t="n"/>
      <c r="G977" s="72">
        <f>IF(A977&lt;&gt;"",TEXT(A977,"YYYY-MM"),"")</f>
        <v/>
      </c>
    </row>
    <row r="978">
      <c r="A978" s="71" t="n"/>
      <c r="B978" s="8" t="n"/>
      <c r="C978" s="8" t="n"/>
      <c r="D978" s="8" t="n"/>
      <c r="E978" s="14" t="n"/>
      <c r="F978" s="8" t="n"/>
      <c r="G978" s="72">
        <f>IF(A978&lt;&gt;"",TEXT(A978,"YYYY-MM"),"")</f>
        <v/>
      </c>
    </row>
    <row r="979">
      <c r="A979" s="71" t="n"/>
      <c r="B979" s="8" t="n"/>
      <c r="C979" s="8" t="n"/>
      <c r="D979" s="8" t="n"/>
      <c r="E979" s="14" t="n"/>
      <c r="F979" s="8" t="n"/>
      <c r="G979" s="72">
        <f>IF(A979&lt;&gt;"",TEXT(A979,"YYYY-MM"),"")</f>
        <v/>
      </c>
    </row>
    <row r="980">
      <c r="A980" s="71" t="n"/>
      <c r="B980" s="8" t="n"/>
      <c r="C980" s="8" t="n"/>
      <c r="D980" s="8" t="n"/>
      <c r="E980" s="14" t="n"/>
      <c r="F980" s="8" t="n"/>
      <c r="G980" s="72">
        <f>IF(A980&lt;&gt;"",TEXT(A980,"YYYY-MM"),"")</f>
        <v/>
      </c>
    </row>
    <row r="981">
      <c r="A981" s="71" t="n"/>
      <c r="B981" s="8" t="n"/>
      <c r="C981" s="8" t="n"/>
      <c r="D981" s="8" t="n"/>
      <c r="E981" s="14" t="n"/>
      <c r="F981" s="8" t="n"/>
      <c r="G981" s="72">
        <f>IF(A981&lt;&gt;"",TEXT(A981,"YYYY-MM"),"")</f>
        <v/>
      </c>
    </row>
    <row r="982">
      <c r="A982" s="71" t="n"/>
      <c r="B982" s="8" t="n"/>
      <c r="C982" s="8" t="n"/>
      <c r="D982" s="8" t="n"/>
      <c r="E982" s="14" t="n"/>
      <c r="F982" s="8" t="n"/>
      <c r="G982" s="72">
        <f>IF(A982&lt;&gt;"",TEXT(A982,"YYYY-MM"),"")</f>
        <v/>
      </c>
    </row>
    <row r="983">
      <c r="A983" s="71" t="n"/>
      <c r="B983" s="8" t="n"/>
      <c r="C983" s="8" t="n"/>
      <c r="D983" s="8" t="n"/>
      <c r="E983" s="14" t="n"/>
      <c r="F983" s="8" t="n"/>
      <c r="G983" s="72">
        <f>IF(A983&lt;&gt;"",TEXT(A983,"YYYY-MM"),"")</f>
        <v/>
      </c>
    </row>
    <row r="984">
      <c r="A984" s="71" t="n"/>
      <c r="B984" s="8" t="n"/>
      <c r="C984" s="8" t="n"/>
      <c r="D984" s="8" t="n"/>
      <c r="E984" s="14" t="n"/>
      <c r="F984" s="8" t="n"/>
      <c r="G984" s="72">
        <f>IF(A984&lt;&gt;"",TEXT(A984,"YYYY-MM"),"")</f>
        <v/>
      </c>
    </row>
    <row r="985">
      <c r="A985" s="71" t="n"/>
      <c r="B985" s="8" t="n"/>
      <c r="C985" s="8" t="n"/>
      <c r="D985" s="8" t="n"/>
      <c r="E985" s="14" t="n"/>
      <c r="F985" s="8" t="n"/>
      <c r="G985" s="72">
        <f>IF(A985&lt;&gt;"",TEXT(A985,"YYYY-MM"),"")</f>
        <v/>
      </c>
    </row>
    <row r="986">
      <c r="A986" s="71" t="n"/>
      <c r="B986" s="8" t="n"/>
      <c r="C986" s="8" t="n"/>
      <c r="D986" s="8" t="n"/>
      <c r="E986" s="14" t="n"/>
      <c r="F986" s="8" t="n"/>
      <c r="G986" s="72">
        <f>IF(A986&lt;&gt;"",TEXT(A986,"YYYY-MM"),"")</f>
        <v/>
      </c>
    </row>
    <row r="987">
      <c r="A987" s="71" t="n"/>
      <c r="B987" s="8" t="n"/>
      <c r="C987" s="8" t="n"/>
      <c r="D987" s="8" t="n"/>
      <c r="E987" s="14" t="n"/>
      <c r="F987" s="8" t="n"/>
      <c r="G987" s="72">
        <f>IF(A987&lt;&gt;"",TEXT(A987,"YYYY-MM"),"")</f>
        <v/>
      </c>
    </row>
    <row r="988">
      <c r="A988" s="71" t="n"/>
      <c r="B988" s="8" t="n"/>
      <c r="C988" s="8" t="n"/>
      <c r="D988" s="8" t="n"/>
      <c r="E988" s="14" t="n"/>
      <c r="F988" s="8" t="n"/>
      <c r="G988" s="72">
        <f>IF(A988&lt;&gt;"",TEXT(A988,"YYYY-MM"),"")</f>
        <v/>
      </c>
    </row>
    <row r="989">
      <c r="A989" s="71" t="n"/>
      <c r="B989" s="8" t="n"/>
      <c r="C989" s="8" t="n"/>
      <c r="D989" s="8" t="n"/>
      <c r="E989" s="14" t="n"/>
      <c r="F989" s="8" t="n"/>
      <c r="G989" s="72">
        <f>IF(A989&lt;&gt;"",TEXT(A989,"YYYY-MM"),"")</f>
        <v/>
      </c>
    </row>
    <row r="990">
      <c r="A990" s="71" t="n"/>
      <c r="B990" s="8" t="n"/>
      <c r="C990" s="8" t="n"/>
      <c r="D990" s="8" t="n"/>
      <c r="E990" s="14" t="n"/>
      <c r="F990" s="8" t="n"/>
      <c r="G990" s="72">
        <f>IF(A990&lt;&gt;"",TEXT(A990,"YYYY-MM"),"")</f>
        <v/>
      </c>
    </row>
    <row r="991">
      <c r="A991" s="71" t="n"/>
      <c r="B991" s="8" t="n"/>
      <c r="C991" s="8" t="n"/>
      <c r="D991" s="8" t="n"/>
      <c r="E991" s="14" t="n"/>
      <c r="F991" s="8" t="n"/>
      <c r="G991" s="72">
        <f>IF(A991&lt;&gt;"",TEXT(A991,"YYYY-MM"),"")</f>
        <v/>
      </c>
    </row>
    <row r="992">
      <c r="A992" s="71" t="n"/>
      <c r="B992" s="8" t="n"/>
      <c r="C992" s="8" t="n"/>
      <c r="D992" s="8" t="n"/>
      <c r="E992" s="14" t="n"/>
      <c r="F992" s="8" t="n"/>
      <c r="G992" s="72">
        <f>IF(A992&lt;&gt;"",TEXT(A992,"YYYY-MM"),"")</f>
        <v/>
      </c>
    </row>
    <row r="993">
      <c r="A993" s="71" t="n"/>
      <c r="B993" s="8" t="n"/>
      <c r="C993" s="8" t="n"/>
      <c r="D993" s="8" t="n"/>
      <c r="E993" s="14" t="n"/>
      <c r="F993" s="8" t="n"/>
      <c r="G993" s="72">
        <f>IF(A993&lt;&gt;"",TEXT(A993,"YYYY-MM"),"")</f>
        <v/>
      </c>
    </row>
    <row r="994">
      <c r="A994" s="71" t="n"/>
      <c r="B994" s="8" t="n"/>
      <c r="C994" s="8" t="n"/>
      <c r="D994" s="8" t="n"/>
      <c r="E994" s="14" t="n"/>
      <c r="F994" s="8" t="n"/>
      <c r="G994" s="72">
        <f>IF(A994&lt;&gt;"",TEXT(A994,"YYYY-MM"),"")</f>
        <v/>
      </c>
    </row>
    <row r="995">
      <c r="A995" s="71" t="n"/>
      <c r="B995" s="8" t="n"/>
      <c r="C995" s="8" t="n"/>
      <c r="D995" s="8" t="n"/>
      <c r="E995" s="14" t="n"/>
      <c r="F995" s="8" t="n"/>
      <c r="G995" s="72">
        <f>IF(A995&lt;&gt;"",TEXT(A995,"YYYY-MM"),"")</f>
        <v/>
      </c>
    </row>
    <row r="996">
      <c r="A996" s="71" t="n"/>
      <c r="B996" s="8" t="n"/>
      <c r="C996" s="8" t="n"/>
      <c r="D996" s="8" t="n"/>
      <c r="E996" s="14" t="n"/>
      <c r="F996" s="8" t="n"/>
      <c r="G996" s="72">
        <f>IF(A996&lt;&gt;"",TEXT(A996,"YYYY-MM"),"")</f>
        <v/>
      </c>
    </row>
    <row r="997">
      <c r="A997" s="71" t="n"/>
      <c r="B997" s="8" t="n"/>
      <c r="C997" s="8" t="n"/>
      <c r="D997" s="8" t="n"/>
      <c r="E997" s="14" t="n"/>
      <c r="F997" s="8" t="n"/>
      <c r="G997" s="72">
        <f>IF(A997&lt;&gt;"",TEXT(A997,"YYYY-MM"),"")</f>
        <v/>
      </c>
    </row>
    <row r="998">
      <c r="A998" s="71" t="n"/>
      <c r="B998" s="8" t="n"/>
      <c r="C998" s="8" t="n"/>
      <c r="D998" s="8" t="n"/>
      <c r="E998" s="14" t="n"/>
      <c r="F998" s="8" t="n"/>
      <c r="G998" s="72">
        <f>IF(A998&lt;&gt;"",TEXT(A998,"YYYY-MM"),"")</f>
        <v/>
      </c>
    </row>
    <row r="999">
      <c r="A999" s="71" t="n"/>
      <c r="B999" s="8" t="n"/>
      <c r="C999" s="8" t="n"/>
      <c r="D999" s="8" t="n"/>
      <c r="E999" s="14" t="n"/>
      <c r="F999" s="8" t="n"/>
      <c r="G999" s="72">
        <f>IF(A999&lt;&gt;"",TEXT(A999,"YYYY-MM"),"")</f>
        <v/>
      </c>
    </row>
    <row r="1000">
      <c r="A1000" s="71" t="n"/>
      <c r="B1000" s="8" t="n"/>
      <c r="C1000" s="8" t="n"/>
      <c r="D1000" s="8" t="n"/>
      <c r="E1000" s="14" t="n"/>
      <c r="F1000" s="8" t="n"/>
      <c r="G1000" s="72">
        <f>IF(A1000&lt;&gt;"",TEXT(A1000,"YYYY-MM"),"")</f>
        <v/>
      </c>
    </row>
    <row r="1001">
      <c r="A1001" s="71" t="n"/>
      <c r="B1001" s="8" t="n"/>
      <c r="C1001" s="8" t="n"/>
      <c r="D1001" s="8" t="n"/>
      <c r="E1001" s="14" t="n"/>
      <c r="F1001" s="8" t="n"/>
      <c r="G1001" s="72">
        <f>IF(A1001&lt;&gt;"",TEXT(A1001,"YYYY-MM"),"")</f>
        <v/>
      </c>
    </row>
    <row r="1002">
      <c r="A1002" s="71" t="n"/>
      <c r="B1002" s="8" t="n"/>
      <c r="C1002" s="8" t="n"/>
      <c r="D1002" s="8" t="n"/>
      <c r="E1002" s="14" t="n"/>
      <c r="F1002" s="8" t="n"/>
      <c r="G1002" s="72">
        <f>IF(A1002&lt;&gt;"",TEXT(A1002,"YYYY-MM"),"")</f>
        <v/>
      </c>
    </row>
  </sheetData>
  <mergeCells count="1">
    <mergeCell ref="A1:G1"/>
  </mergeCells>
  <dataValidations count="2">
    <dataValidation sqref="C3:C1002" showDropDown="0" showInputMessage="0" showErrorMessage="0" allowBlank="1" error="Please select a valid category" type="list">
      <formula1>"Food &amp; Groceries,Transportation,Housing,Entertainment,Healthcare,Education,Shopping,Bills &amp; Utilities"</formula1>
    </dataValidation>
    <dataValidation sqref="D3:D1002" showDropDown="0" showInputMessage="0" showErrorMessage="0" allowBlank="1" type="list">
      <formula1>"Cash,Debit Card,Credit Card,Bank Transfer,E-Wallet,Other"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5" customWidth="1" min="4" max="4"/>
    <col width="30" customWidth="1" min="5" max="5"/>
    <col width="12" customWidth="1" min="6" max="6"/>
  </cols>
  <sheetData>
    <row r="1" ht="35" customHeight="1">
      <c r="A1" s="70" t="inlineStr">
        <is>
          <t>INCOME TRACKER</t>
        </is>
      </c>
    </row>
    <row r="2">
      <c r="A2" s="4" t="inlineStr">
        <is>
          <t>Date</t>
        </is>
      </c>
      <c r="B2" s="4" t="inlineStr">
        <is>
          <t>Source</t>
        </is>
      </c>
      <c r="C2" s="4" t="inlineStr">
        <is>
          <t>Category</t>
        </is>
      </c>
      <c r="D2" s="4" t="inlineStr">
        <is>
          <t>Amount</t>
        </is>
      </c>
      <c r="E2" s="4" t="inlineStr">
        <is>
          <t>Notes</t>
        </is>
      </c>
      <c r="F2" s="4" t="inlineStr">
        <is>
          <t>Month</t>
        </is>
      </c>
    </row>
    <row r="3">
      <c r="A3" s="71" t="n">
        <v>46023</v>
      </c>
      <c r="B3" s="8" t="inlineStr">
        <is>
          <t>Monthly Salary</t>
        </is>
      </c>
      <c r="C3" s="8" t="inlineStr">
        <is>
          <t>Salary</t>
        </is>
      </c>
      <c r="D3" s="14" t="n">
        <v>5000000</v>
      </c>
      <c r="E3" s="8" t="inlineStr">
        <is>
          <t>January salary</t>
        </is>
      </c>
      <c r="F3" s="8">
        <f>IF(A3&lt;&gt;"",TEXT(A3,"YYYY-MM"),"")</f>
        <v/>
      </c>
    </row>
    <row r="4">
      <c r="A4" s="71" t="n"/>
      <c r="B4" s="8" t="n"/>
      <c r="C4" s="8" t="n"/>
      <c r="D4" s="14" t="n"/>
      <c r="E4" s="8" t="n"/>
      <c r="F4" s="8">
        <f>IF(A4&lt;&gt;"",TEXT(A4,"YYYY-MM"),"")</f>
        <v/>
      </c>
    </row>
    <row r="5">
      <c r="A5" s="71" t="n"/>
      <c r="B5" s="8" t="n"/>
      <c r="C5" s="8" t="n"/>
      <c r="D5" s="14" t="n"/>
      <c r="E5" s="8" t="n"/>
      <c r="F5" s="8">
        <f>IF(A5&lt;&gt;"",TEXT(A5,"YYYY-MM"),"")</f>
        <v/>
      </c>
    </row>
    <row r="6">
      <c r="A6" s="71" t="n"/>
      <c r="B6" s="8" t="n"/>
      <c r="C6" s="8" t="n"/>
      <c r="D6" s="14" t="n"/>
      <c r="E6" s="8" t="n"/>
      <c r="F6" s="8">
        <f>IF(A6&lt;&gt;"",TEXT(A6,"YYYY-MM"),"")</f>
        <v/>
      </c>
    </row>
    <row r="7">
      <c r="A7" s="71" t="n"/>
      <c r="B7" s="8" t="n"/>
      <c r="C7" s="8" t="n"/>
      <c r="D7" s="14" t="n"/>
      <c r="E7" s="8" t="n"/>
      <c r="F7" s="8">
        <f>IF(A7&lt;&gt;"",TEXT(A7,"YYYY-MM"),"")</f>
        <v/>
      </c>
    </row>
    <row r="8">
      <c r="A8" s="71" t="n"/>
      <c r="B8" s="8" t="n"/>
      <c r="C8" s="8" t="n"/>
      <c r="D8" s="14" t="n"/>
      <c r="E8" s="8" t="n"/>
      <c r="F8" s="8">
        <f>IF(A8&lt;&gt;"",TEXT(A8,"YYYY-MM"),"")</f>
        <v/>
      </c>
    </row>
    <row r="9">
      <c r="A9" s="71" t="n"/>
      <c r="B9" s="8" t="n"/>
      <c r="C9" s="8" t="n"/>
      <c r="D9" s="14" t="n"/>
      <c r="E9" s="8" t="n"/>
      <c r="F9" s="8">
        <f>IF(A9&lt;&gt;"",TEXT(A9,"YYYY-MM"),"")</f>
        <v/>
      </c>
    </row>
    <row r="10">
      <c r="A10" s="71" t="n"/>
      <c r="B10" s="8" t="n"/>
      <c r="C10" s="8" t="n"/>
      <c r="D10" s="14" t="n"/>
      <c r="E10" s="8" t="n"/>
      <c r="F10" s="8">
        <f>IF(A10&lt;&gt;"",TEXT(A10,"YYYY-MM"),"")</f>
        <v/>
      </c>
    </row>
    <row r="11">
      <c r="A11" s="71" t="n"/>
      <c r="B11" s="8" t="n"/>
      <c r="C11" s="8" t="n"/>
      <c r="D11" s="14" t="n"/>
      <c r="E11" s="8" t="n"/>
      <c r="F11" s="8">
        <f>IF(A11&lt;&gt;"",TEXT(A11,"YYYY-MM"),"")</f>
        <v/>
      </c>
    </row>
    <row r="12">
      <c r="A12" s="71" t="n"/>
      <c r="B12" s="8" t="n"/>
      <c r="C12" s="8" t="n"/>
      <c r="D12" s="14" t="n"/>
      <c r="E12" s="8" t="n"/>
      <c r="F12" s="8">
        <f>IF(A12&lt;&gt;"",TEXT(A12,"YYYY-MM"),"")</f>
        <v/>
      </c>
    </row>
    <row r="13">
      <c r="A13" s="71" t="n"/>
      <c r="B13" s="8" t="n"/>
      <c r="C13" s="8" t="n"/>
      <c r="D13" s="14" t="n"/>
      <c r="E13" s="8" t="n"/>
      <c r="F13" s="8">
        <f>IF(A13&lt;&gt;"",TEXT(A13,"YYYY-MM"),"")</f>
        <v/>
      </c>
    </row>
    <row r="14">
      <c r="A14" s="71" t="n"/>
      <c r="B14" s="8" t="n"/>
      <c r="C14" s="8" t="n"/>
      <c r="D14" s="14" t="n"/>
      <c r="E14" s="8" t="n"/>
      <c r="F14" s="8">
        <f>IF(A14&lt;&gt;"",TEXT(A14,"YYYY-MM"),"")</f>
        <v/>
      </c>
    </row>
    <row r="15">
      <c r="A15" s="71" t="n"/>
      <c r="B15" s="8" t="n"/>
      <c r="C15" s="8" t="n"/>
      <c r="D15" s="14" t="n"/>
      <c r="E15" s="8" t="n"/>
      <c r="F15" s="8">
        <f>IF(A15&lt;&gt;"",TEXT(A15,"YYYY-MM"),"")</f>
        <v/>
      </c>
    </row>
    <row r="16">
      <c r="A16" s="71" t="n"/>
      <c r="B16" s="8" t="n"/>
      <c r="C16" s="8" t="n"/>
      <c r="D16" s="14" t="n"/>
      <c r="E16" s="8" t="n"/>
      <c r="F16" s="8">
        <f>IF(A16&lt;&gt;"",TEXT(A16,"YYYY-MM"),"")</f>
        <v/>
      </c>
    </row>
    <row r="17">
      <c r="A17" s="71" t="n"/>
      <c r="B17" s="8" t="n"/>
      <c r="C17" s="8" t="n"/>
      <c r="D17" s="14" t="n"/>
      <c r="E17" s="8" t="n"/>
      <c r="F17" s="8">
        <f>IF(A17&lt;&gt;"",TEXT(A17,"YYYY-MM"),"")</f>
        <v/>
      </c>
    </row>
    <row r="18">
      <c r="A18" s="71" t="n"/>
      <c r="B18" s="8" t="n"/>
      <c r="C18" s="8" t="n"/>
      <c r="D18" s="14" t="n"/>
      <c r="E18" s="8" t="n"/>
      <c r="F18" s="8">
        <f>IF(A18&lt;&gt;"",TEXT(A18,"YYYY-MM"),"")</f>
        <v/>
      </c>
    </row>
    <row r="19">
      <c r="A19" s="71" t="n"/>
      <c r="B19" s="8" t="n"/>
      <c r="C19" s="8" t="n"/>
      <c r="D19" s="14" t="n"/>
      <c r="E19" s="8" t="n"/>
      <c r="F19" s="8">
        <f>IF(A19&lt;&gt;"",TEXT(A19,"YYYY-MM"),"")</f>
        <v/>
      </c>
    </row>
    <row r="20">
      <c r="A20" s="71" t="n"/>
      <c r="B20" s="8" t="n"/>
      <c r="C20" s="8" t="n"/>
      <c r="D20" s="14" t="n"/>
      <c r="E20" s="8" t="n"/>
      <c r="F20" s="8">
        <f>IF(A20&lt;&gt;"",TEXT(A20,"YYYY-MM"),"")</f>
        <v/>
      </c>
    </row>
    <row r="21">
      <c r="A21" s="71" t="n"/>
      <c r="B21" s="8" t="n"/>
      <c r="C21" s="8" t="n"/>
      <c r="D21" s="14" t="n"/>
      <c r="E21" s="8" t="n"/>
      <c r="F21" s="8">
        <f>IF(A21&lt;&gt;"",TEXT(A21,"YYYY-MM"),"")</f>
        <v/>
      </c>
    </row>
    <row r="22">
      <c r="A22" s="71" t="n"/>
      <c r="B22" s="8" t="n"/>
      <c r="C22" s="8" t="n"/>
      <c r="D22" s="14" t="n"/>
      <c r="E22" s="8" t="n"/>
      <c r="F22" s="8">
        <f>IF(A22&lt;&gt;"",TEXT(A22,"YYYY-MM"),"")</f>
        <v/>
      </c>
    </row>
    <row r="23">
      <c r="A23" s="71" t="n"/>
      <c r="B23" s="8" t="n"/>
      <c r="C23" s="8" t="n"/>
      <c r="D23" s="14" t="n"/>
      <c r="E23" s="8" t="n"/>
      <c r="F23" s="8">
        <f>IF(A23&lt;&gt;"",TEXT(A23,"YYYY-MM"),"")</f>
        <v/>
      </c>
    </row>
    <row r="24">
      <c r="A24" s="71" t="n"/>
      <c r="B24" s="8" t="n"/>
      <c r="C24" s="8" t="n"/>
      <c r="D24" s="14" t="n"/>
      <c r="E24" s="8" t="n"/>
      <c r="F24" s="8">
        <f>IF(A24&lt;&gt;"",TEXT(A24,"YYYY-MM"),"")</f>
        <v/>
      </c>
    </row>
    <row r="25">
      <c r="A25" s="71" t="n"/>
      <c r="B25" s="8" t="n"/>
      <c r="C25" s="8" t="n"/>
      <c r="D25" s="14" t="n"/>
      <c r="E25" s="8" t="n"/>
      <c r="F25" s="8">
        <f>IF(A25&lt;&gt;"",TEXT(A25,"YYYY-MM"),"")</f>
        <v/>
      </c>
    </row>
    <row r="26">
      <c r="A26" s="71" t="n"/>
      <c r="B26" s="8" t="n"/>
      <c r="C26" s="8" t="n"/>
      <c r="D26" s="14" t="n"/>
      <c r="E26" s="8" t="n"/>
      <c r="F26" s="8">
        <f>IF(A26&lt;&gt;"",TEXT(A26,"YYYY-MM"),"")</f>
        <v/>
      </c>
    </row>
    <row r="27">
      <c r="A27" s="71" t="n"/>
      <c r="B27" s="8" t="n"/>
      <c r="C27" s="8" t="n"/>
      <c r="D27" s="14" t="n"/>
      <c r="E27" s="8" t="n"/>
      <c r="F27" s="8">
        <f>IF(A27&lt;&gt;"",TEXT(A27,"YYYY-MM"),"")</f>
        <v/>
      </c>
    </row>
    <row r="28">
      <c r="A28" s="71" t="n"/>
      <c r="B28" s="8" t="n"/>
      <c r="C28" s="8" t="n"/>
      <c r="D28" s="14" t="n"/>
      <c r="E28" s="8" t="n"/>
      <c r="F28" s="8">
        <f>IF(A28&lt;&gt;"",TEXT(A28,"YYYY-MM"),"")</f>
        <v/>
      </c>
    </row>
    <row r="29">
      <c r="A29" s="71" t="n"/>
      <c r="B29" s="8" t="n"/>
      <c r="C29" s="8" t="n"/>
      <c r="D29" s="14" t="n"/>
      <c r="E29" s="8" t="n"/>
      <c r="F29" s="8">
        <f>IF(A29&lt;&gt;"",TEXT(A29,"YYYY-MM"),"")</f>
        <v/>
      </c>
    </row>
    <row r="30">
      <c r="A30" s="71" t="n"/>
      <c r="B30" s="8" t="n"/>
      <c r="C30" s="8" t="n"/>
      <c r="D30" s="14" t="n"/>
      <c r="E30" s="8" t="n"/>
      <c r="F30" s="8">
        <f>IF(A30&lt;&gt;"",TEXT(A30,"YYYY-MM"),"")</f>
        <v/>
      </c>
    </row>
    <row r="31">
      <c r="A31" s="71" t="n"/>
      <c r="B31" s="8" t="n"/>
      <c r="C31" s="8" t="n"/>
      <c r="D31" s="14" t="n"/>
      <c r="E31" s="8" t="n"/>
      <c r="F31" s="8">
        <f>IF(A31&lt;&gt;"",TEXT(A31,"YYYY-MM"),"")</f>
        <v/>
      </c>
    </row>
    <row r="32">
      <c r="A32" s="71" t="n"/>
      <c r="B32" s="8" t="n"/>
      <c r="C32" s="8" t="n"/>
      <c r="D32" s="14" t="n"/>
      <c r="E32" s="8" t="n"/>
      <c r="F32" s="8">
        <f>IF(A32&lt;&gt;"",TEXT(A32,"YYYY-MM"),"")</f>
        <v/>
      </c>
    </row>
    <row r="33">
      <c r="A33" s="71" t="n"/>
      <c r="B33" s="8" t="n"/>
      <c r="C33" s="8" t="n"/>
      <c r="D33" s="14" t="n"/>
      <c r="E33" s="8" t="n"/>
      <c r="F33" s="8">
        <f>IF(A33&lt;&gt;"",TEXT(A33,"YYYY-MM"),"")</f>
        <v/>
      </c>
    </row>
    <row r="34">
      <c r="A34" s="71" t="n"/>
      <c r="B34" s="8" t="n"/>
      <c r="C34" s="8" t="n"/>
      <c r="D34" s="14" t="n"/>
      <c r="E34" s="8" t="n"/>
      <c r="F34" s="8">
        <f>IF(A34&lt;&gt;"",TEXT(A34,"YYYY-MM"),"")</f>
        <v/>
      </c>
    </row>
    <row r="35">
      <c r="A35" s="71" t="n"/>
      <c r="B35" s="8" t="n"/>
      <c r="C35" s="8" t="n"/>
      <c r="D35" s="14" t="n"/>
      <c r="E35" s="8" t="n"/>
      <c r="F35" s="8">
        <f>IF(A35&lt;&gt;"",TEXT(A35,"YYYY-MM"),"")</f>
        <v/>
      </c>
    </row>
    <row r="36">
      <c r="A36" s="71" t="n"/>
      <c r="B36" s="8" t="n"/>
      <c r="C36" s="8" t="n"/>
      <c r="D36" s="14" t="n"/>
      <c r="E36" s="8" t="n"/>
      <c r="F36" s="8">
        <f>IF(A36&lt;&gt;"",TEXT(A36,"YYYY-MM"),"")</f>
        <v/>
      </c>
    </row>
    <row r="37">
      <c r="A37" s="71" t="n"/>
      <c r="B37" s="8" t="n"/>
      <c r="C37" s="8" t="n"/>
      <c r="D37" s="14" t="n"/>
      <c r="E37" s="8" t="n"/>
      <c r="F37" s="8">
        <f>IF(A37&lt;&gt;"",TEXT(A37,"YYYY-MM"),"")</f>
        <v/>
      </c>
    </row>
    <row r="38">
      <c r="A38" s="71" t="n"/>
      <c r="B38" s="8" t="n"/>
      <c r="C38" s="8" t="n"/>
      <c r="D38" s="14" t="n"/>
      <c r="E38" s="8" t="n"/>
      <c r="F38" s="8">
        <f>IF(A38&lt;&gt;"",TEXT(A38,"YYYY-MM"),"")</f>
        <v/>
      </c>
    </row>
    <row r="39">
      <c r="A39" s="71" t="n"/>
      <c r="B39" s="8" t="n"/>
      <c r="C39" s="8" t="n"/>
      <c r="D39" s="14" t="n"/>
      <c r="E39" s="8" t="n"/>
      <c r="F39" s="8">
        <f>IF(A39&lt;&gt;"",TEXT(A39,"YYYY-MM"),"")</f>
        <v/>
      </c>
    </row>
    <row r="40">
      <c r="A40" s="71" t="n"/>
      <c r="B40" s="8" t="n"/>
      <c r="C40" s="8" t="n"/>
      <c r="D40" s="14" t="n"/>
      <c r="E40" s="8" t="n"/>
      <c r="F40" s="8">
        <f>IF(A40&lt;&gt;"",TEXT(A40,"YYYY-MM"),"")</f>
        <v/>
      </c>
    </row>
    <row r="41">
      <c r="A41" s="71" t="n"/>
      <c r="B41" s="8" t="n"/>
      <c r="C41" s="8" t="n"/>
      <c r="D41" s="14" t="n"/>
      <c r="E41" s="8" t="n"/>
      <c r="F41" s="8">
        <f>IF(A41&lt;&gt;"",TEXT(A41,"YYYY-MM"),"")</f>
        <v/>
      </c>
    </row>
    <row r="42">
      <c r="A42" s="71" t="n"/>
      <c r="B42" s="8" t="n"/>
      <c r="C42" s="8" t="n"/>
      <c r="D42" s="14" t="n"/>
      <c r="E42" s="8" t="n"/>
      <c r="F42" s="8">
        <f>IF(A42&lt;&gt;"",TEXT(A42,"YYYY-MM"),"")</f>
        <v/>
      </c>
    </row>
    <row r="43">
      <c r="A43" s="71" t="n"/>
      <c r="B43" s="8" t="n"/>
      <c r="C43" s="8" t="n"/>
      <c r="D43" s="14" t="n"/>
      <c r="E43" s="8" t="n"/>
      <c r="F43" s="8">
        <f>IF(A43&lt;&gt;"",TEXT(A43,"YYYY-MM"),"")</f>
        <v/>
      </c>
    </row>
    <row r="44">
      <c r="A44" s="71" t="n"/>
      <c r="B44" s="8" t="n"/>
      <c r="C44" s="8" t="n"/>
      <c r="D44" s="14" t="n"/>
      <c r="E44" s="8" t="n"/>
      <c r="F44" s="8">
        <f>IF(A44&lt;&gt;"",TEXT(A44,"YYYY-MM"),"")</f>
        <v/>
      </c>
    </row>
    <row r="45">
      <c r="A45" s="71" t="n"/>
      <c r="B45" s="8" t="n"/>
      <c r="C45" s="8" t="n"/>
      <c r="D45" s="14" t="n"/>
      <c r="E45" s="8" t="n"/>
      <c r="F45" s="8">
        <f>IF(A45&lt;&gt;"",TEXT(A45,"YYYY-MM"),"")</f>
        <v/>
      </c>
    </row>
    <row r="46">
      <c r="A46" s="71" t="n"/>
      <c r="B46" s="8" t="n"/>
      <c r="C46" s="8" t="n"/>
      <c r="D46" s="14" t="n"/>
      <c r="E46" s="8" t="n"/>
      <c r="F46" s="8">
        <f>IF(A46&lt;&gt;"",TEXT(A46,"YYYY-MM"),"")</f>
        <v/>
      </c>
    </row>
    <row r="47">
      <c r="A47" s="71" t="n"/>
      <c r="B47" s="8" t="n"/>
      <c r="C47" s="8" t="n"/>
      <c r="D47" s="14" t="n"/>
      <c r="E47" s="8" t="n"/>
      <c r="F47" s="8">
        <f>IF(A47&lt;&gt;"",TEXT(A47,"YYYY-MM"),"")</f>
        <v/>
      </c>
    </row>
    <row r="48">
      <c r="A48" s="71" t="n"/>
      <c r="B48" s="8" t="n"/>
      <c r="C48" s="8" t="n"/>
      <c r="D48" s="14" t="n"/>
      <c r="E48" s="8" t="n"/>
      <c r="F48" s="8">
        <f>IF(A48&lt;&gt;"",TEXT(A48,"YYYY-MM"),"")</f>
        <v/>
      </c>
    </row>
    <row r="49">
      <c r="A49" s="71" t="n"/>
      <c r="B49" s="8" t="n"/>
      <c r="C49" s="8" t="n"/>
      <c r="D49" s="14" t="n"/>
      <c r="E49" s="8" t="n"/>
      <c r="F49" s="8">
        <f>IF(A49&lt;&gt;"",TEXT(A49,"YYYY-MM"),"")</f>
        <v/>
      </c>
    </row>
    <row r="50">
      <c r="A50" s="71" t="n"/>
      <c r="B50" s="8" t="n"/>
      <c r="C50" s="8" t="n"/>
      <c r="D50" s="14" t="n"/>
      <c r="E50" s="8" t="n"/>
      <c r="F50" s="8">
        <f>IF(A50&lt;&gt;"",TEXT(A50,"YYYY-MM"),"")</f>
        <v/>
      </c>
    </row>
    <row r="51">
      <c r="A51" s="71" t="n"/>
      <c r="B51" s="8" t="n"/>
      <c r="C51" s="8" t="n"/>
      <c r="D51" s="14" t="n"/>
      <c r="E51" s="8" t="n"/>
      <c r="F51" s="8">
        <f>IF(A51&lt;&gt;"",TEXT(A51,"YYYY-MM"),"")</f>
        <v/>
      </c>
    </row>
    <row r="52">
      <c r="A52" s="71" t="n"/>
      <c r="B52" s="8" t="n"/>
      <c r="C52" s="8" t="n"/>
      <c r="D52" s="14" t="n"/>
      <c r="E52" s="8" t="n"/>
      <c r="F52" s="8">
        <f>IF(A52&lt;&gt;"",TEXT(A52,"YYYY-MM"),"")</f>
        <v/>
      </c>
    </row>
    <row r="53">
      <c r="A53" s="71" t="n"/>
      <c r="B53" s="8" t="n"/>
      <c r="C53" s="8" t="n"/>
      <c r="D53" s="14" t="n"/>
      <c r="E53" s="8" t="n"/>
      <c r="F53" s="8">
        <f>IF(A53&lt;&gt;"",TEXT(A53,"YYYY-MM"),"")</f>
        <v/>
      </c>
    </row>
    <row r="54">
      <c r="A54" s="71" t="n"/>
      <c r="B54" s="8" t="n"/>
      <c r="C54" s="8" t="n"/>
      <c r="D54" s="14" t="n"/>
      <c r="E54" s="8" t="n"/>
      <c r="F54" s="8">
        <f>IF(A54&lt;&gt;"",TEXT(A54,"YYYY-MM"),"")</f>
        <v/>
      </c>
    </row>
    <row r="55">
      <c r="A55" s="71" t="n"/>
      <c r="B55" s="8" t="n"/>
      <c r="C55" s="8" t="n"/>
      <c r="D55" s="14" t="n"/>
      <c r="E55" s="8" t="n"/>
      <c r="F55" s="8">
        <f>IF(A55&lt;&gt;"",TEXT(A55,"YYYY-MM"),"")</f>
        <v/>
      </c>
    </row>
    <row r="56">
      <c r="A56" s="71" t="n"/>
      <c r="B56" s="8" t="n"/>
      <c r="C56" s="8" t="n"/>
      <c r="D56" s="14" t="n"/>
      <c r="E56" s="8" t="n"/>
      <c r="F56" s="8">
        <f>IF(A56&lt;&gt;"",TEXT(A56,"YYYY-MM"),"")</f>
        <v/>
      </c>
    </row>
    <row r="57">
      <c r="A57" s="71" t="n"/>
      <c r="B57" s="8" t="n"/>
      <c r="C57" s="8" t="n"/>
      <c r="D57" s="14" t="n"/>
      <c r="E57" s="8" t="n"/>
      <c r="F57" s="8">
        <f>IF(A57&lt;&gt;"",TEXT(A57,"YYYY-MM"),"")</f>
        <v/>
      </c>
    </row>
    <row r="58">
      <c r="A58" s="71" t="n"/>
      <c r="B58" s="8" t="n"/>
      <c r="C58" s="8" t="n"/>
      <c r="D58" s="14" t="n"/>
      <c r="E58" s="8" t="n"/>
      <c r="F58" s="8">
        <f>IF(A58&lt;&gt;"",TEXT(A58,"YYYY-MM"),"")</f>
        <v/>
      </c>
    </row>
    <row r="59">
      <c r="A59" s="71" t="n"/>
      <c r="B59" s="8" t="n"/>
      <c r="C59" s="8" t="n"/>
      <c r="D59" s="14" t="n"/>
      <c r="E59" s="8" t="n"/>
      <c r="F59" s="8">
        <f>IF(A59&lt;&gt;"",TEXT(A59,"YYYY-MM"),"")</f>
        <v/>
      </c>
    </row>
    <row r="60">
      <c r="A60" s="71" t="n"/>
      <c r="B60" s="8" t="n"/>
      <c r="C60" s="8" t="n"/>
      <c r="D60" s="14" t="n"/>
      <c r="E60" s="8" t="n"/>
      <c r="F60" s="8">
        <f>IF(A60&lt;&gt;"",TEXT(A60,"YYYY-MM"),"")</f>
        <v/>
      </c>
    </row>
    <row r="61">
      <c r="A61" s="71" t="n"/>
      <c r="B61" s="8" t="n"/>
      <c r="C61" s="8" t="n"/>
      <c r="D61" s="14" t="n"/>
      <c r="E61" s="8" t="n"/>
      <c r="F61" s="8">
        <f>IF(A61&lt;&gt;"",TEXT(A61,"YYYY-MM"),"")</f>
        <v/>
      </c>
    </row>
    <row r="62">
      <c r="A62" s="71" t="n"/>
      <c r="B62" s="8" t="n"/>
      <c r="C62" s="8" t="n"/>
      <c r="D62" s="14" t="n"/>
      <c r="E62" s="8" t="n"/>
      <c r="F62" s="8">
        <f>IF(A62&lt;&gt;"",TEXT(A62,"YYYY-MM"),"")</f>
        <v/>
      </c>
    </row>
    <row r="63">
      <c r="A63" s="71" t="n"/>
      <c r="B63" s="8" t="n"/>
      <c r="C63" s="8" t="n"/>
      <c r="D63" s="14" t="n"/>
      <c r="E63" s="8" t="n"/>
      <c r="F63" s="8">
        <f>IF(A63&lt;&gt;"",TEXT(A63,"YYYY-MM"),"")</f>
        <v/>
      </c>
    </row>
    <row r="64">
      <c r="A64" s="71" t="n"/>
      <c r="B64" s="8" t="n"/>
      <c r="C64" s="8" t="n"/>
      <c r="D64" s="14" t="n"/>
      <c r="E64" s="8" t="n"/>
      <c r="F64" s="8">
        <f>IF(A64&lt;&gt;"",TEXT(A64,"YYYY-MM"),"")</f>
        <v/>
      </c>
    </row>
    <row r="65">
      <c r="A65" s="71" t="n"/>
      <c r="B65" s="8" t="n"/>
      <c r="C65" s="8" t="n"/>
      <c r="D65" s="14" t="n"/>
      <c r="E65" s="8" t="n"/>
      <c r="F65" s="8">
        <f>IF(A65&lt;&gt;"",TEXT(A65,"YYYY-MM"),"")</f>
        <v/>
      </c>
    </row>
    <row r="66">
      <c r="A66" s="71" t="n"/>
      <c r="B66" s="8" t="n"/>
      <c r="C66" s="8" t="n"/>
      <c r="D66" s="14" t="n"/>
      <c r="E66" s="8" t="n"/>
      <c r="F66" s="8">
        <f>IF(A66&lt;&gt;"",TEXT(A66,"YYYY-MM"),"")</f>
        <v/>
      </c>
    </row>
    <row r="67">
      <c r="A67" s="71" t="n"/>
      <c r="B67" s="8" t="n"/>
      <c r="C67" s="8" t="n"/>
      <c r="D67" s="14" t="n"/>
      <c r="E67" s="8" t="n"/>
      <c r="F67" s="8">
        <f>IF(A67&lt;&gt;"",TEXT(A67,"YYYY-MM"),"")</f>
        <v/>
      </c>
    </row>
    <row r="68">
      <c r="A68" s="71" t="n"/>
      <c r="B68" s="8" t="n"/>
      <c r="C68" s="8" t="n"/>
      <c r="D68" s="14" t="n"/>
      <c r="E68" s="8" t="n"/>
      <c r="F68" s="8">
        <f>IF(A68&lt;&gt;"",TEXT(A68,"YYYY-MM"),"")</f>
        <v/>
      </c>
    </row>
    <row r="69">
      <c r="A69" s="71" t="n"/>
      <c r="B69" s="8" t="n"/>
      <c r="C69" s="8" t="n"/>
      <c r="D69" s="14" t="n"/>
      <c r="E69" s="8" t="n"/>
      <c r="F69" s="8">
        <f>IF(A69&lt;&gt;"",TEXT(A69,"YYYY-MM"),"")</f>
        <v/>
      </c>
    </row>
    <row r="70">
      <c r="A70" s="71" t="n"/>
      <c r="B70" s="8" t="n"/>
      <c r="C70" s="8" t="n"/>
      <c r="D70" s="14" t="n"/>
      <c r="E70" s="8" t="n"/>
      <c r="F70" s="8">
        <f>IF(A70&lt;&gt;"",TEXT(A70,"YYYY-MM"),"")</f>
        <v/>
      </c>
    </row>
    <row r="71">
      <c r="A71" s="71" t="n"/>
      <c r="B71" s="8" t="n"/>
      <c r="C71" s="8" t="n"/>
      <c r="D71" s="14" t="n"/>
      <c r="E71" s="8" t="n"/>
      <c r="F71" s="8">
        <f>IF(A71&lt;&gt;"",TEXT(A71,"YYYY-MM"),"")</f>
        <v/>
      </c>
    </row>
    <row r="72">
      <c r="A72" s="71" t="n"/>
      <c r="B72" s="8" t="n"/>
      <c r="C72" s="8" t="n"/>
      <c r="D72" s="14" t="n"/>
      <c r="E72" s="8" t="n"/>
      <c r="F72" s="8">
        <f>IF(A72&lt;&gt;"",TEXT(A72,"YYYY-MM"),"")</f>
        <v/>
      </c>
    </row>
    <row r="73">
      <c r="A73" s="71" t="n"/>
      <c r="B73" s="8" t="n"/>
      <c r="C73" s="8" t="n"/>
      <c r="D73" s="14" t="n"/>
      <c r="E73" s="8" t="n"/>
      <c r="F73" s="8">
        <f>IF(A73&lt;&gt;"",TEXT(A73,"YYYY-MM"),"")</f>
        <v/>
      </c>
    </row>
    <row r="74">
      <c r="A74" s="71" t="n"/>
      <c r="B74" s="8" t="n"/>
      <c r="C74" s="8" t="n"/>
      <c r="D74" s="14" t="n"/>
      <c r="E74" s="8" t="n"/>
      <c r="F74" s="8">
        <f>IF(A74&lt;&gt;"",TEXT(A74,"YYYY-MM"),"")</f>
        <v/>
      </c>
    </row>
    <row r="75">
      <c r="A75" s="71" t="n"/>
      <c r="B75" s="8" t="n"/>
      <c r="C75" s="8" t="n"/>
      <c r="D75" s="14" t="n"/>
      <c r="E75" s="8" t="n"/>
      <c r="F75" s="8">
        <f>IF(A75&lt;&gt;"",TEXT(A75,"YYYY-MM"),"")</f>
        <v/>
      </c>
    </row>
    <row r="76">
      <c r="A76" s="71" t="n"/>
      <c r="B76" s="8" t="n"/>
      <c r="C76" s="8" t="n"/>
      <c r="D76" s="14" t="n"/>
      <c r="E76" s="8" t="n"/>
      <c r="F76" s="8">
        <f>IF(A76&lt;&gt;"",TEXT(A76,"YYYY-MM"),"")</f>
        <v/>
      </c>
    </row>
    <row r="77">
      <c r="A77" s="71" t="n"/>
      <c r="B77" s="8" t="n"/>
      <c r="C77" s="8" t="n"/>
      <c r="D77" s="14" t="n"/>
      <c r="E77" s="8" t="n"/>
      <c r="F77" s="8">
        <f>IF(A77&lt;&gt;"",TEXT(A77,"YYYY-MM"),"")</f>
        <v/>
      </c>
    </row>
    <row r="78">
      <c r="A78" s="71" t="n"/>
      <c r="B78" s="8" t="n"/>
      <c r="C78" s="8" t="n"/>
      <c r="D78" s="14" t="n"/>
      <c r="E78" s="8" t="n"/>
      <c r="F78" s="8">
        <f>IF(A78&lt;&gt;"",TEXT(A78,"YYYY-MM"),"")</f>
        <v/>
      </c>
    </row>
    <row r="79">
      <c r="A79" s="71" t="n"/>
      <c r="B79" s="8" t="n"/>
      <c r="C79" s="8" t="n"/>
      <c r="D79" s="14" t="n"/>
      <c r="E79" s="8" t="n"/>
      <c r="F79" s="8">
        <f>IF(A79&lt;&gt;"",TEXT(A79,"YYYY-MM"),"")</f>
        <v/>
      </c>
    </row>
    <row r="80">
      <c r="A80" s="71" t="n"/>
      <c r="B80" s="8" t="n"/>
      <c r="C80" s="8" t="n"/>
      <c r="D80" s="14" t="n"/>
      <c r="E80" s="8" t="n"/>
      <c r="F80" s="8">
        <f>IF(A80&lt;&gt;"",TEXT(A80,"YYYY-MM"),"")</f>
        <v/>
      </c>
    </row>
    <row r="81">
      <c r="A81" s="71" t="n"/>
      <c r="B81" s="8" t="n"/>
      <c r="C81" s="8" t="n"/>
      <c r="D81" s="14" t="n"/>
      <c r="E81" s="8" t="n"/>
      <c r="F81" s="8">
        <f>IF(A81&lt;&gt;"",TEXT(A81,"YYYY-MM"),"")</f>
        <v/>
      </c>
    </row>
    <row r="82">
      <c r="A82" s="71" t="n"/>
      <c r="B82" s="8" t="n"/>
      <c r="C82" s="8" t="n"/>
      <c r="D82" s="14" t="n"/>
      <c r="E82" s="8" t="n"/>
      <c r="F82" s="8">
        <f>IF(A82&lt;&gt;"",TEXT(A82,"YYYY-MM"),"")</f>
        <v/>
      </c>
    </row>
    <row r="83">
      <c r="A83" s="71" t="n"/>
      <c r="B83" s="8" t="n"/>
      <c r="C83" s="8" t="n"/>
      <c r="D83" s="14" t="n"/>
      <c r="E83" s="8" t="n"/>
      <c r="F83" s="8">
        <f>IF(A83&lt;&gt;"",TEXT(A83,"YYYY-MM"),"")</f>
        <v/>
      </c>
    </row>
    <row r="84">
      <c r="A84" s="71" t="n"/>
      <c r="B84" s="8" t="n"/>
      <c r="C84" s="8" t="n"/>
      <c r="D84" s="14" t="n"/>
      <c r="E84" s="8" t="n"/>
      <c r="F84" s="8">
        <f>IF(A84&lt;&gt;"",TEXT(A84,"YYYY-MM"),"")</f>
        <v/>
      </c>
    </row>
    <row r="85">
      <c r="A85" s="71" t="n"/>
      <c r="B85" s="8" t="n"/>
      <c r="C85" s="8" t="n"/>
      <c r="D85" s="14" t="n"/>
      <c r="E85" s="8" t="n"/>
      <c r="F85" s="8">
        <f>IF(A85&lt;&gt;"",TEXT(A85,"YYYY-MM"),"")</f>
        <v/>
      </c>
    </row>
    <row r="86">
      <c r="A86" s="71" t="n"/>
      <c r="B86" s="8" t="n"/>
      <c r="C86" s="8" t="n"/>
      <c r="D86" s="14" t="n"/>
      <c r="E86" s="8" t="n"/>
      <c r="F86" s="8">
        <f>IF(A86&lt;&gt;"",TEXT(A86,"YYYY-MM"),"")</f>
        <v/>
      </c>
    </row>
    <row r="87">
      <c r="A87" s="71" t="n"/>
      <c r="B87" s="8" t="n"/>
      <c r="C87" s="8" t="n"/>
      <c r="D87" s="14" t="n"/>
      <c r="E87" s="8" t="n"/>
      <c r="F87" s="8">
        <f>IF(A87&lt;&gt;"",TEXT(A87,"YYYY-MM"),"")</f>
        <v/>
      </c>
    </row>
    <row r="88">
      <c r="A88" s="71" t="n"/>
      <c r="B88" s="8" t="n"/>
      <c r="C88" s="8" t="n"/>
      <c r="D88" s="14" t="n"/>
      <c r="E88" s="8" t="n"/>
      <c r="F88" s="8">
        <f>IF(A88&lt;&gt;"",TEXT(A88,"YYYY-MM"),"")</f>
        <v/>
      </c>
    </row>
    <row r="89">
      <c r="A89" s="71" t="n"/>
      <c r="B89" s="8" t="n"/>
      <c r="C89" s="8" t="n"/>
      <c r="D89" s="14" t="n"/>
      <c r="E89" s="8" t="n"/>
      <c r="F89" s="8">
        <f>IF(A89&lt;&gt;"",TEXT(A89,"YYYY-MM"),"")</f>
        <v/>
      </c>
    </row>
    <row r="90">
      <c r="A90" s="71" t="n"/>
      <c r="B90" s="8" t="n"/>
      <c r="C90" s="8" t="n"/>
      <c r="D90" s="14" t="n"/>
      <c r="E90" s="8" t="n"/>
      <c r="F90" s="8">
        <f>IF(A90&lt;&gt;"",TEXT(A90,"YYYY-MM"),"")</f>
        <v/>
      </c>
    </row>
    <row r="91">
      <c r="A91" s="71" t="n"/>
      <c r="B91" s="8" t="n"/>
      <c r="C91" s="8" t="n"/>
      <c r="D91" s="14" t="n"/>
      <c r="E91" s="8" t="n"/>
      <c r="F91" s="8">
        <f>IF(A91&lt;&gt;"",TEXT(A91,"YYYY-MM"),"")</f>
        <v/>
      </c>
    </row>
    <row r="92">
      <c r="A92" s="71" t="n"/>
      <c r="B92" s="8" t="n"/>
      <c r="C92" s="8" t="n"/>
      <c r="D92" s="14" t="n"/>
      <c r="E92" s="8" t="n"/>
      <c r="F92" s="8">
        <f>IF(A92&lt;&gt;"",TEXT(A92,"YYYY-MM"),"")</f>
        <v/>
      </c>
    </row>
    <row r="93">
      <c r="A93" s="71" t="n"/>
      <c r="B93" s="8" t="n"/>
      <c r="C93" s="8" t="n"/>
      <c r="D93" s="14" t="n"/>
      <c r="E93" s="8" t="n"/>
      <c r="F93" s="8">
        <f>IF(A93&lt;&gt;"",TEXT(A93,"YYYY-MM"),"")</f>
        <v/>
      </c>
    </row>
    <row r="94">
      <c r="A94" s="71" t="n"/>
      <c r="B94" s="8" t="n"/>
      <c r="C94" s="8" t="n"/>
      <c r="D94" s="14" t="n"/>
      <c r="E94" s="8" t="n"/>
      <c r="F94" s="8">
        <f>IF(A94&lt;&gt;"",TEXT(A94,"YYYY-MM"),"")</f>
        <v/>
      </c>
    </row>
    <row r="95">
      <c r="A95" s="71" t="n"/>
      <c r="B95" s="8" t="n"/>
      <c r="C95" s="8" t="n"/>
      <c r="D95" s="14" t="n"/>
      <c r="E95" s="8" t="n"/>
      <c r="F95" s="8">
        <f>IF(A95&lt;&gt;"",TEXT(A95,"YYYY-MM"),"")</f>
        <v/>
      </c>
    </row>
    <row r="96">
      <c r="A96" s="71" t="n"/>
      <c r="B96" s="8" t="n"/>
      <c r="C96" s="8" t="n"/>
      <c r="D96" s="14" t="n"/>
      <c r="E96" s="8" t="n"/>
      <c r="F96" s="8">
        <f>IF(A96&lt;&gt;"",TEXT(A96,"YYYY-MM"),"")</f>
        <v/>
      </c>
    </row>
    <row r="97">
      <c r="A97" s="71" t="n"/>
      <c r="B97" s="8" t="n"/>
      <c r="C97" s="8" t="n"/>
      <c r="D97" s="14" t="n"/>
      <c r="E97" s="8" t="n"/>
      <c r="F97" s="8">
        <f>IF(A97&lt;&gt;"",TEXT(A97,"YYYY-MM"),"")</f>
        <v/>
      </c>
    </row>
    <row r="98">
      <c r="A98" s="71" t="n"/>
      <c r="B98" s="8" t="n"/>
      <c r="C98" s="8" t="n"/>
      <c r="D98" s="14" t="n"/>
      <c r="E98" s="8" t="n"/>
      <c r="F98" s="8">
        <f>IF(A98&lt;&gt;"",TEXT(A98,"YYYY-MM"),"")</f>
        <v/>
      </c>
    </row>
    <row r="99">
      <c r="A99" s="71" t="n"/>
      <c r="B99" s="8" t="n"/>
      <c r="C99" s="8" t="n"/>
      <c r="D99" s="14" t="n"/>
      <c r="E99" s="8" t="n"/>
      <c r="F99" s="8">
        <f>IF(A99&lt;&gt;"",TEXT(A99,"YYYY-MM"),"")</f>
        <v/>
      </c>
    </row>
    <row r="100">
      <c r="A100" s="71" t="n"/>
      <c r="B100" s="8" t="n"/>
      <c r="C100" s="8" t="n"/>
      <c r="D100" s="14" t="n"/>
      <c r="E100" s="8" t="n"/>
      <c r="F100" s="8">
        <f>IF(A100&lt;&gt;"",TEXT(A100,"YYYY-MM"),"")</f>
        <v/>
      </c>
    </row>
    <row r="101">
      <c r="A101" s="71" t="n"/>
      <c r="B101" s="8" t="n"/>
      <c r="C101" s="8" t="n"/>
      <c r="D101" s="14" t="n"/>
      <c r="E101" s="8" t="n"/>
      <c r="F101" s="8">
        <f>IF(A101&lt;&gt;"",TEXT(A101,"YYYY-MM"),"")</f>
        <v/>
      </c>
    </row>
    <row r="102">
      <c r="A102" s="71" t="n"/>
      <c r="B102" s="8" t="n"/>
      <c r="C102" s="8" t="n"/>
      <c r="D102" s="14" t="n"/>
      <c r="E102" s="8" t="n"/>
      <c r="F102" s="8">
        <f>IF(A102&lt;&gt;"",TEXT(A102,"YYYY-MM"),"")</f>
        <v/>
      </c>
    </row>
    <row r="103">
      <c r="A103" s="71" t="n"/>
      <c r="B103" s="8" t="n"/>
      <c r="C103" s="8" t="n"/>
      <c r="D103" s="14" t="n"/>
      <c r="E103" s="8" t="n"/>
      <c r="F103" s="8">
        <f>IF(A103&lt;&gt;"",TEXT(A103,"YYYY-MM"),"")</f>
        <v/>
      </c>
    </row>
    <row r="104">
      <c r="A104" s="71" t="n"/>
      <c r="B104" s="8" t="n"/>
      <c r="C104" s="8" t="n"/>
      <c r="D104" s="14" t="n"/>
      <c r="E104" s="8" t="n"/>
      <c r="F104" s="8">
        <f>IF(A104&lt;&gt;"",TEXT(A104,"YYYY-MM"),"")</f>
        <v/>
      </c>
    </row>
    <row r="105">
      <c r="A105" s="71" t="n"/>
      <c r="B105" s="8" t="n"/>
      <c r="C105" s="8" t="n"/>
      <c r="D105" s="14" t="n"/>
      <c r="E105" s="8" t="n"/>
      <c r="F105" s="8">
        <f>IF(A105&lt;&gt;"",TEXT(A105,"YYYY-MM"),"")</f>
        <v/>
      </c>
    </row>
    <row r="106">
      <c r="A106" s="71" t="n"/>
      <c r="B106" s="8" t="n"/>
      <c r="C106" s="8" t="n"/>
      <c r="D106" s="14" t="n"/>
      <c r="E106" s="8" t="n"/>
      <c r="F106" s="8">
        <f>IF(A106&lt;&gt;"",TEXT(A106,"YYYY-MM"),"")</f>
        <v/>
      </c>
    </row>
    <row r="107">
      <c r="A107" s="71" t="n"/>
      <c r="B107" s="8" t="n"/>
      <c r="C107" s="8" t="n"/>
      <c r="D107" s="14" t="n"/>
      <c r="E107" s="8" t="n"/>
      <c r="F107" s="8">
        <f>IF(A107&lt;&gt;"",TEXT(A107,"YYYY-MM"),"")</f>
        <v/>
      </c>
    </row>
    <row r="108">
      <c r="A108" s="71" t="n"/>
      <c r="B108" s="8" t="n"/>
      <c r="C108" s="8" t="n"/>
      <c r="D108" s="14" t="n"/>
      <c r="E108" s="8" t="n"/>
      <c r="F108" s="8">
        <f>IF(A108&lt;&gt;"",TEXT(A108,"YYYY-MM"),"")</f>
        <v/>
      </c>
    </row>
    <row r="109">
      <c r="A109" s="71" t="n"/>
      <c r="B109" s="8" t="n"/>
      <c r="C109" s="8" t="n"/>
      <c r="D109" s="14" t="n"/>
      <c r="E109" s="8" t="n"/>
      <c r="F109" s="8">
        <f>IF(A109&lt;&gt;"",TEXT(A109,"YYYY-MM"),"")</f>
        <v/>
      </c>
    </row>
    <row r="110">
      <c r="A110" s="71" t="n"/>
      <c r="B110" s="8" t="n"/>
      <c r="C110" s="8" t="n"/>
      <c r="D110" s="14" t="n"/>
      <c r="E110" s="8" t="n"/>
      <c r="F110" s="8">
        <f>IF(A110&lt;&gt;"",TEXT(A110,"YYYY-MM"),"")</f>
        <v/>
      </c>
    </row>
    <row r="111">
      <c r="A111" s="71" t="n"/>
      <c r="B111" s="8" t="n"/>
      <c r="C111" s="8" t="n"/>
      <c r="D111" s="14" t="n"/>
      <c r="E111" s="8" t="n"/>
      <c r="F111" s="8">
        <f>IF(A111&lt;&gt;"",TEXT(A111,"YYYY-MM"),"")</f>
        <v/>
      </c>
    </row>
    <row r="112">
      <c r="A112" s="71" t="n"/>
      <c r="B112" s="8" t="n"/>
      <c r="C112" s="8" t="n"/>
      <c r="D112" s="14" t="n"/>
      <c r="E112" s="8" t="n"/>
      <c r="F112" s="8">
        <f>IF(A112&lt;&gt;"",TEXT(A112,"YYYY-MM"),"")</f>
        <v/>
      </c>
    </row>
    <row r="113">
      <c r="A113" s="71" t="n"/>
      <c r="B113" s="8" t="n"/>
      <c r="C113" s="8" t="n"/>
      <c r="D113" s="14" t="n"/>
      <c r="E113" s="8" t="n"/>
      <c r="F113" s="8">
        <f>IF(A113&lt;&gt;"",TEXT(A113,"YYYY-MM"),"")</f>
        <v/>
      </c>
    </row>
    <row r="114">
      <c r="A114" s="71" t="n"/>
      <c r="B114" s="8" t="n"/>
      <c r="C114" s="8" t="n"/>
      <c r="D114" s="14" t="n"/>
      <c r="E114" s="8" t="n"/>
      <c r="F114" s="8">
        <f>IF(A114&lt;&gt;"",TEXT(A114,"YYYY-MM"),"")</f>
        <v/>
      </c>
    </row>
    <row r="115">
      <c r="A115" s="71" t="n"/>
      <c r="B115" s="8" t="n"/>
      <c r="C115" s="8" t="n"/>
      <c r="D115" s="14" t="n"/>
      <c r="E115" s="8" t="n"/>
      <c r="F115" s="8">
        <f>IF(A115&lt;&gt;"",TEXT(A115,"YYYY-MM"),"")</f>
        <v/>
      </c>
    </row>
    <row r="116">
      <c r="A116" s="71" t="n"/>
      <c r="B116" s="8" t="n"/>
      <c r="C116" s="8" t="n"/>
      <c r="D116" s="14" t="n"/>
      <c r="E116" s="8" t="n"/>
      <c r="F116" s="8">
        <f>IF(A116&lt;&gt;"",TEXT(A116,"YYYY-MM"),"")</f>
        <v/>
      </c>
    </row>
    <row r="117">
      <c r="A117" s="71" t="n"/>
      <c r="B117" s="8" t="n"/>
      <c r="C117" s="8" t="n"/>
      <c r="D117" s="14" t="n"/>
      <c r="E117" s="8" t="n"/>
      <c r="F117" s="8">
        <f>IF(A117&lt;&gt;"",TEXT(A117,"YYYY-MM"),"")</f>
        <v/>
      </c>
    </row>
    <row r="118">
      <c r="A118" s="71" t="n"/>
      <c r="B118" s="8" t="n"/>
      <c r="C118" s="8" t="n"/>
      <c r="D118" s="14" t="n"/>
      <c r="E118" s="8" t="n"/>
      <c r="F118" s="8">
        <f>IF(A118&lt;&gt;"",TEXT(A118,"YYYY-MM"),"")</f>
        <v/>
      </c>
    </row>
    <row r="119">
      <c r="A119" s="71" t="n"/>
      <c r="B119" s="8" t="n"/>
      <c r="C119" s="8" t="n"/>
      <c r="D119" s="14" t="n"/>
      <c r="E119" s="8" t="n"/>
      <c r="F119" s="8">
        <f>IF(A119&lt;&gt;"",TEXT(A119,"YYYY-MM"),"")</f>
        <v/>
      </c>
    </row>
    <row r="120">
      <c r="A120" s="71" t="n"/>
      <c r="B120" s="8" t="n"/>
      <c r="C120" s="8" t="n"/>
      <c r="D120" s="14" t="n"/>
      <c r="E120" s="8" t="n"/>
      <c r="F120" s="8">
        <f>IF(A120&lt;&gt;"",TEXT(A120,"YYYY-MM"),"")</f>
        <v/>
      </c>
    </row>
    <row r="121">
      <c r="A121" s="71" t="n"/>
      <c r="B121" s="8" t="n"/>
      <c r="C121" s="8" t="n"/>
      <c r="D121" s="14" t="n"/>
      <c r="E121" s="8" t="n"/>
      <c r="F121" s="8">
        <f>IF(A121&lt;&gt;"",TEXT(A121,"YYYY-MM"),"")</f>
        <v/>
      </c>
    </row>
    <row r="122">
      <c r="A122" s="71" t="n"/>
      <c r="B122" s="8" t="n"/>
      <c r="C122" s="8" t="n"/>
      <c r="D122" s="14" t="n"/>
      <c r="E122" s="8" t="n"/>
      <c r="F122" s="8">
        <f>IF(A122&lt;&gt;"",TEXT(A122,"YYYY-MM"),"")</f>
        <v/>
      </c>
    </row>
    <row r="123">
      <c r="A123" s="71" t="n"/>
      <c r="B123" s="8" t="n"/>
      <c r="C123" s="8" t="n"/>
      <c r="D123" s="14" t="n"/>
      <c r="E123" s="8" t="n"/>
      <c r="F123" s="8">
        <f>IF(A123&lt;&gt;"",TEXT(A123,"YYYY-MM"),"")</f>
        <v/>
      </c>
    </row>
    <row r="124">
      <c r="A124" s="71" t="n"/>
      <c r="B124" s="8" t="n"/>
      <c r="C124" s="8" t="n"/>
      <c r="D124" s="14" t="n"/>
      <c r="E124" s="8" t="n"/>
      <c r="F124" s="8">
        <f>IF(A124&lt;&gt;"",TEXT(A124,"YYYY-MM"),"")</f>
        <v/>
      </c>
    </row>
    <row r="125">
      <c r="A125" s="71" t="n"/>
      <c r="B125" s="8" t="n"/>
      <c r="C125" s="8" t="n"/>
      <c r="D125" s="14" t="n"/>
      <c r="E125" s="8" t="n"/>
      <c r="F125" s="8">
        <f>IF(A125&lt;&gt;"",TEXT(A125,"YYYY-MM"),"")</f>
        <v/>
      </c>
    </row>
    <row r="126">
      <c r="A126" s="71" t="n"/>
      <c r="B126" s="8" t="n"/>
      <c r="C126" s="8" t="n"/>
      <c r="D126" s="14" t="n"/>
      <c r="E126" s="8" t="n"/>
      <c r="F126" s="8">
        <f>IF(A126&lt;&gt;"",TEXT(A126,"YYYY-MM"),"")</f>
        <v/>
      </c>
    </row>
    <row r="127">
      <c r="A127" s="71" t="n"/>
      <c r="B127" s="8" t="n"/>
      <c r="C127" s="8" t="n"/>
      <c r="D127" s="14" t="n"/>
      <c r="E127" s="8" t="n"/>
      <c r="F127" s="8">
        <f>IF(A127&lt;&gt;"",TEXT(A127,"YYYY-MM"),"")</f>
        <v/>
      </c>
    </row>
    <row r="128">
      <c r="A128" s="71" t="n"/>
      <c r="B128" s="8" t="n"/>
      <c r="C128" s="8" t="n"/>
      <c r="D128" s="14" t="n"/>
      <c r="E128" s="8" t="n"/>
      <c r="F128" s="8">
        <f>IF(A128&lt;&gt;"",TEXT(A128,"YYYY-MM"),"")</f>
        <v/>
      </c>
    </row>
    <row r="129">
      <c r="A129" s="71" t="n"/>
      <c r="B129" s="8" t="n"/>
      <c r="C129" s="8" t="n"/>
      <c r="D129" s="14" t="n"/>
      <c r="E129" s="8" t="n"/>
      <c r="F129" s="8">
        <f>IF(A129&lt;&gt;"",TEXT(A129,"YYYY-MM"),"")</f>
        <v/>
      </c>
    </row>
    <row r="130">
      <c r="A130" s="71" t="n"/>
      <c r="B130" s="8" t="n"/>
      <c r="C130" s="8" t="n"/>
      <c r="D130" s="14" t="n"/>
      <c r="E130" s="8" t="n"/>
      <c r="F130" s="8">
        <f>IF(A130&lt;&gt;"",TEXT(A130,"YYYY-MM"),"")</f>
        <v/>
      </c>
    </row>
    <row r="131">
      <c r="A131" s="71" t="n"/>
      <c r="B131" s="8" t="n"/>
      <c r="C131" s="8" t="n"/>
      <c r="D131" s="14" t="n"/>
      <c r="E131" s="8" t="n"/>
      <c r="F131" s="8">
        <f>IF(A131&lt;&gt;"",TEXT(A131,"YYYY-MM"),"")</f>
        <v/>
      </c>
    </row>
    <row r="132">
      <c r="A132" s="71" t="n"/>
      <c r="B132" s="8" t="n"/>
      <c r="C132" s="8" t="n"/>
      <c r="D132" s="14" t="n"/>
      <c r="E132" s="8" t="n"/>
      <c r="F132" s="8">
        <f>IF(A132&lt;&gt;"",TEXT(A132,"YYYY-MM"),"")</f>
        <v/>
      </c>
    </row>
    <row r="133">
      <c r="A133" s="71" t="n"/>
      <c r="B133" s="8" t="n"/>
      <c r="C133" s="8" t="n"/>
      <c r="D133" s="14" t="n"/>
      <c r="E133" s="8" t="n"/>
      <c r="F133" s="8">
        <f>IF(A133&lt;&gt;"",TEXT(A133,"YYYY-MM"),"")</f>
        <v/>
      </c>
    </row>
    <row r="134">
      <c r="A134" s="71" t="n"/>
      <c r="B134" s="8" t="n"/>
      <c r="C134" s="8" t="n"/>
      <c r="D134" s="14" t="n"/>
      <c r="E134" s="8" t="n"/>
      <c r="F134" s="8">
        <f>IF(A134&lt;&gt;"",TEXT(A134,"YYYY-MM"),"")</f>
        <v/>
      </c>
    </row>
    <row r="135">
      <c r="A135" s="71" t="n"/>
      <c r="B135" s="8" t="n"/>
      <c r="C135" s="8" t="n"/>
      <c r="D135" s="14" t="n"/>
      <c r="E135" s="8" t="n"/>
      <c r="F135" s="8">
        <f>IF(A135&lt;&gt;"",TEXT(A135,"YYYY-MM"),"")</f>
        <v/>
      </c>
    </row>
    <row r="136">
      <c r="A136" s="71" t="n"/>
      <c r="B136" s="8" t="n"/>
      <c r="C136" s="8" t="n"/>
      <c r="D136" s="14" t="n"/>
      <c r="E136" s="8" t="n"/>
      <c r="F136" s="8">
        <f>IF(A136&lt;&gt;"",TEXT(A136,"YYYY-MM"),"")</f>
        <v/>
      </c>
    </row>
    <row r="137">
      <c r="A137" s="71" t="n"/>
      <c r="B137" s="8" t="n"/>
      <c r="C137" s="8" t="n"/>
      <c r="D137" s="14" t="n"/>
      <c r="E137" s="8" t="n"/>
      <c r="F137" s="8">
        <f>IF(A137&lt;&gt;"",TEXT(A137,"YYYY-MM"),"")</f>
        <v/>
      </c>
    </row>
    <row r="138">
      <c r="A138" s="71" t="n"/>
      <c r="B138" s="8" t="n"/>
      <c r="C138" s="8" t="n"/>
      <c r="D138" s="14" t="n"/>
      <c r="E138" s="8" t="n"/>
      <c r="F138" s="8">
        <f>IF(A138&lt;&gt;"",TEXT(A138,"YYYY-MM"),"")</f>
        <v/>
      </c>
    </row>
    <row r="139">
      <c r="A139" s="71" t="n"/>
      <c r="B139" s="8" t="n"/>
      <c r="C139" s="8" t="n"/>
      <c r="D139" s="14" t="n"/>
      <c r="E139" s="8" t="n"/>
      <c r="F139" s="8">
        <f>IF(A139&lt;&gt;"",TEXT(A139,"YYYY-MM"),"")</f>
        <v/>
      </c>
    </row>
    <row r="140">
      <c r="A140" s="71" t="n"/>
      <c r="B140" s="8" t="n"/>
      <c r="C140" s="8" t="n"/>
      <c r="D140" s="14" t="n"/>
      <c r="E140" s="8" t="n"/>
      <c r="F140" s="8">
        <f>IF(A140&lt;&gt;"",TEXT(A140,"YYYY-MM"),"")</f>
        <v/>
      </c>
    </row>
    <row r="141">
      <c r="A141" s="71" t="n"/>
      <c r="B141" s="8" t="n"/>
      <c r="C141" s="8" t="n"/>
      <c r="D141" s="14" t="n"/>
      <c r="E141" s="8" t="n"/>
      <c r="F141" s="8">
        <f>IF(A141&lt;&gt;"",TEXT(A141,"YYYY-MM"),"")</f>
        <v/>
      </c>
    </row>
    <row r="142">
      <c r="A142" s="71" t="n"/>
      <c r="B142" s="8" t="n"/>
      <c r="C142" s="8" t="n"/>
      <c r="D142" s="14" t="n"/>
      <c r="E142" s="8" t="n"/>
      <c r="F142" s="8">
        <f>IF(A142&lt;&gt;"",TEXT(A142,"YYYY-MM"),"")</f>
        <v/>
      </c>
    </row>
    <row r="143">
      <c r="A143" s="71" t="n"/>
      <c r="B143" s="8" t="n"/>
      <c r="C143" s="8" t="n"/>
      <c r="D143" s="14" t="n"/>
      <c r="E143" s="8" t="n"/>
      <c r="F143" s="8">
        <f>IF(A143&lt;&gt;"",TEXT(A143,"YYYY-MM"),"")</f>
        <v/>
      </c>
    </row>
    <row r="144">
      <c r="A144" s="71" t="n"/>
      <c r="B144" s="8" t="n"/>
      <c r="C144" s="8" t="n"/>
      <c r="D144" s="14" t="n"/>
      <c r="E144" s="8" t="n"/>
      <c r="F144" s="8">
        <f>IF(A144&lt;&gt;"",TEXT(A144,"YYYY-MM"),"")</f>
        <v/>
      </c>
    </row>
    <row r="145">
      <c r="A145" s="71" t="n"/>
      <c r="B145" s="8" t="n"/>
      <c r="C145" s="8" t="n"/>
      <c r="D145" s="14" t="n"/>
      <c r="E145" s="8" t="n"/>
      <c r="F145" s="8">
        <f>IF(A145&lt;&gt;"",TEXT(A145,"YYYY-MM"),"")</f>
        <v/>
      </c>
    </row>
    <row r="146">
      <c r="A146" s="71" t="n"/>
      <c r="B146" s="8" t="n"/>
      <c r="C146" s="8" t="n"/>
      <c r="D146" s="14" t="n"/>
      <c r="E146" s="8" t="n"/>
      <c r="F146" s="8">
        <f>IF(A146&lt;&gt;"",TEXT(A146,"YYYY-MM"),"")</f>
        <v/>
      </c>
    </row>
    <row r="147">
      <c r="A147" s="71" t="n"/>
      <c r="B147" s="8" t="n"/>
      <c r="C147" s="8" t="n"/>
      <c r="D147" s="14" t="n"/>
      <c r="E147" s="8" t="n"/>
      <c r="F147" s="8">
        <f>IF(A147&lt;&gt;"",TEXT(A147,"YYYY-MM"),"")</f>
        <v/>
      </c>
    </row>
    <row r="148">
      <c r="A148" s="71" t="n"/>
      <c r="B148" s="8" t="n"/>
      <c r="C148" s="8" t="n"/>
      <c r="D148" s="14" t="n"/>
      <c r="E148" s="8" t="n"/>
      <c r="F148" s="8">
        <f>IF(A148&lt;&gt;"",TEXT(A148,"YYYY-MM"),"")</f>
        <v/>
      </c>
    </row>
    <row r="149">
      <c r="A149" s="71" t="n"/>
      <c r="B149" s="8" t="n"/>
      <c r="C149" s="8" t="n"/>
      <c r="D149" s="14" t="n"/>
      <c r="E149" s="8" t="n"/>
      <c r="F149" s="8">
        <f>IF(A149&lt;&gt;"",TEXT(A149,"YYYY-MM"),"")</f>
        <v/>
      </c>
    </row>
    <row r="150">
      <c r="A150" s="71" t="n"/>
      <c r="B150" s="8" t="n"/>
      <c r="C150" s="8" t="n"/>
      <c r="D150" s="14" t="n"/>
      <c r="E150" s="8" t="n"/>
      <c r="F150" s="8">
        <f>IF(A150&lt;&gt;"",TEXT(A150,"YYYY-MM"),"")</f>
        <v/>
      </c>
    </row>
    <row r="151">
      <c r="A151" s="71" t="n"/>
      <c r="B151" s="8" t="n"/>
      <c r="C151" s="8" t="n"/>
      <c r="D151" s="14" t="n"/>
      <c r="E151" s="8" t="n"/>
      <c r="F151" s="8">
        <f>IF(A151&lt;&gt;"",TEXT(A151,"YYYY-MM"),"")</f>
        <v/>
      </c>
    </row>
    <row r="152">
      <c r="A152" s="71" t="n"/>
      <c r="B152" s="8" t="n"/>
      <c r="C152" s="8" t="n"/>
      <c r="D152" s="14" t="n"/>
      <c r="E152" s="8" t="n"/>
      <c r="F152" s="8">
        <f>IF(A152&lt;&gt;"",TEXT(A152,"YYYY-MM"),"")</f>
        <v/>
      </c>
    </row>
    <row r="153">
      <c r="A153" s="71" t="n"/>
      <c r="B153" s="8" t="n"/>
      <c r="C153" s="8" t="n"/>
      <c r="D153" s="14" t="n"/>
      <c r="E153" s="8" t="n"/>
      <c r="F153" s="8">
        <f>IF(A153&lt;&gt;"",TEXT(A153,"YYYY-MM"),"")</f>
        <v/>
      </c>
    </row>
    <row r="154">
      <c r="A154" s="71" t="n"/>
      <c r="B154" s="8" t="n"/>
      <c r="C154" s="8" t="n"/>
      <c r="D154" s="14" t="n"/>
      <c r="E154" s="8" t="n"/>
      <c r="F154" s="8">
        <f>IF(A154&lt;&gt;"",TEXT(A154,"YYYY-MM"),"")</f>
        <v/>
      </c>
    </row>
    <row r="155">
      <c r="A155" s="71" t="n"/>
      <c r="B155" s="8" t="n"/>
      <c r="C155" s="8" t="n"/>
      <c r="D155" s="14" t="n"/>
      <c r="E155" s="8" t="n"/>
      <c r="F155" s="8">
        <f>IF(A155&lt;&gt;"",TEXT(A155,"YYYY-MM"),"")</f>
        <v/>
      </c>
    </row>
    <row r="156">
      <c r="A156" s="71" t="n"/>
      <c r="B156" s="8" t="n"/>
      <c r="C156" s="8" t="n"/>
      <c r="D156" s="14" t="n"/>
      <c r="E156" s="8" t="n"/>
      <c r="F156" s="8">
        <f>IF(A156&lt;&gt;"",TEXT(A156,"YYYY-MM"),"")</f>
        <v/>
      </c>
    </row>
    <row r="157">
      <c r="A157" s="71" t="n"/>
      <c r="B157" s="8" t="n"/>
      <c r="C157" s="8" t="n"/>
      <c r="D157" s="14" t="n"/>
      <c r="E157" s="8" t="n"/>
      <c r="F157" s="8">
        <f>IF(A157&lt;&gt;"",TEXT(A157,"YYYY-MM"),"")</f>
        <v/>
      </c>
    </row>
    <row r="158">
      <c r="A158" s="71" t="n"/>
      <c r="B158" s="8" t="n"/>
      <c r="C158" s="8" t="n"/>
      <c r="D158" s="14" t="n"/>
      <c r="E158" s="8" t="n"/>
      <c r="F158" s="8">
        <f>IF(A158&lt;&gt;"",TEXT(A158,"YYYY-MM"),"")</f>
        <v/>
      </c>
    </row>
    <row r="159">
      <c r="A159" s="71" t="n"/>
      <c r="B159" s="8" t="n"/>
      <c r="C159" s="8" t="n"/>
      <c r="D159" s="14" t="n"/>
      <c r="E159" s="8" t="n"/>
      <c r="F159" s="8">
        <f>IF(A159&lt;&gt;"",TEXT(A159,"YYYY-MM"),"")</f>
        <v/>
      </c>
    </row>
    <row r="160">
      <c r="A160" s="71" t="n"/>
      <c r="B160" s="8" t="n"/>
      <c r="C160" s="8" t="n"/>
      <c r="D160" s="14" t="n"/>
      <c r="E160" s="8" t="n"/>
      <c r="F160" s="8">
        <f>IF(A160&lt;&gt;"",TEXT(A160,"YYYY-MM"),"")</f>
        <v/>
      </c>
    </row>
    <row r="161">
      <c r="A161" s="71" t="n"/>
      <c r="B161" s="8" t="n"/>
      <c r="C161" s="8" t="n"/>
      <c r="D161" s="14" t="n"/>
      <c r="E161" s="8" t="n"/>
      <c r="F161" s="8">
        <f>IF(A161&lt;&gt;"",TEXT(A161,"YYYY-MM"),"")</f>
        <v/>
      </c>
    </row>
    <row r="162">
      <c r="A162" s="71" t="n"/>
      <c r="B162" s="8" t="n"/>
      <c r="C162" s="8" t="n"/>
      <c r="D162" s="14" t="n"/>
      <c r="E162" s="8" t="n"/>
      <c r="F162" s="8">
        <f>IF(A162&lt;&gt;"",TEXT(A162,"YYYY-MM"),"")</f>
        <v/>
      </c>
    </row>
    <row r="163">
      <c r="A163" s="71" t="n"/>
      <c r="B163" s="8" t="n"/>
      <c r="C163" s="8" t="n"/>
      <c r="D163" s="14" t="n"/>
      <c r="E163" s="8" t="n"/>
      <c r="F163" s="8">
        <f>IF(A163&lt;&gt;"",TEXT(A163,"YYYY-MM"),"")</f>
        <v/>
      </c>
    </row>
    <row r="164">
      <c r="A164" s="71" t="n"/>
      <c r="B164" s="8" t="n"/>
      <c r="C164" s="8" t="n"/>
      <c r="D164" s="14" t="n"/>
      <c r="E164" s="8" t="n"/>
      <c r="F164" s="8">
        <f>IF(A164&lt;&gt;"",TEXT(A164,"YYYY-MM"),"")</f>
        <v/>
      </c>
    </row>
    <row r="165">
      <c r="A165" s="71" t="n"/>
      <c r="B165" s="8" t="n"/>
      <c r="C165" s="8" t="n"/>
      <c r="D165" s="14" t="n"/>
      <c r="E165" s="8" t="n"/>
      <c r="F165" s="8">
        <f>IF(A165&lt;&gt;"",TEXT(A165,"YYYY-MM"),"")</f>
        <v/>
      </c>
    </row>
    <row r="166">
      <c r="A166" s="71" t="n"/>
      <c r="B166" s="8" t="n"/>
      <c r="C166" s="8" t="n"/>
      <c r="D166" s="14" t="n"/>
      <c r="E166" s="8" t="n"/>
      <c r="F166" s="8">
        <f>IF(A166&lt;&gt;"",TEXT(A166,"YYYY-MM"),"")</f>
        <v/>
      </c>
    </row>
    <row r="167">
      <c r="A167" s="71" t="n"/>
      <c r="B167" s="8" t="n"/>
      <c r="C167" s="8" t="n"/>
      <c r="D167" s="14" t="n"/>
      <c r="E167" s="8" t="n"/>
      <c r="F167" s="8">
        <f>IF(A167&lt;&gt;"",TEXT(A167,"YYYY-MM"),"")</f>
        <v/>
      </c>
    </row>
    <row r="168">
      <c r="A168" s="71" t="n"/>
      <c r="B168" s="8" t="n"/>
      <c r="C168" s="8" t="n"/>
      <c r="D168" s="14" t="n"/>
      <c r="E168" s="8" t="n"/>
      <c r="F168" s="8">
        <f>IF(A168&lt;&gt;"",TEXT(A168,"YYYY-MM"),"")</f>
        <v/>
      </c>
    </row>
    <row r="169">
      <c r="A169" s="71" t="n"/>
      <c r="B169" s="8" t="n"/>
      <c r="C169" s="8" t="n"/>
      <c r="D169" s="14" t="n"/>
      <c r="E169" s="8" t="n"/>
      <c r="F169" s="8">
        <f>IF(A169&lt;&gt;"",TEXT(A169,"YYYY-MM"),"")</f>
        <v/>
      </c>
    </row>
    <row r="170">
      <c r="A170" s="71" t="n"/>
      <c r="B170" s="8" t="n"/>
      <c r="C170" s="8" t="n"/>
      <c r="D170" s="14" t="n"/>
      <c r="E170" s="8" t="n"/>
      <c r="F170" s="8">
        <f>IF(A170&lt;&gt;"",TEXT(A170,"YYYY-MM"),"")</f>
        <v/>
      </c>
    </row>
    <row r="171">
      <c r="A171" s="71" t="n"/>
      <c r="B171" s="8" t="n"/>
      <c r="C171" s="8" t="n"/>
      <c r="D171" s="14" t="n"/>
      <c r="E171" s="8" t="n"/>
      <c r="F171" s="8">
        <f>IF(A171&lt;&gt;"",TEXT(A171,"YYYY-MM"),"")</f>
        <v/>
      </c>
    </row>
    <row r="172">
      <c r="A172" s="71" t="n"/>
      <c r="B172" s="8" t="n"/>
      <c r="C172" s="8" t="n"/>
      <c r="D172" s="14" t="n"/>
      <c r="E172" s="8" t="n"/>
      <c r="F172" s="8">
        <f>IF(A172&lt;&gt;"",TEXT(A172,"YYYY-MM"),"")</f>
        <v/>
      </c>
    </row>
    <row r="173">
      <c r="A173" s="71" t="n"/>
      <c r="B173" s="8" t="n"/>
      <c r="C173" s="8" t="n"/>
      <c r="D173" s="14" t="n"/>
      <c r="E173" s="8" t="n"/>
      <c r="F173" s="8">
        <f>IF(A173&lt;&gt;"",TEXT(A173,"YYYY-MM"),"")</f>
        <v/>
      </c>
    </row>
    <row r="174">
      <c r="A174" s="71" t="n"/>
      <c r="B174" s="8" t="n"/>
      <c r="C174" s="8" t="n"/>
      <c r="D174" s="14" t="n"/>
      <c r="E174" s="8" t="n"/>
      <c r="F174" s="8">
        <f>IF(A174&lt;&gt;"",TEXT(A174,"YYYY-MM"),"")</f>
        <v/>
      </c>
    </row>
    <row r="175">
      <c r="A175" s="71" t="n"/>
      <c r="B175" s="8" t="n"/>
      <c r="C175" s="8" t="n"/>
      <c r="D175" s="14" t="n"/>
      <c r="E175" s="8" t="n"/>
      <c r="F175" s="8">
        <f>IF(A175&lt;&gt;"",TEXT(A175,"YYYY-MM"),"")</f>
        <v/>
      </c>
    </row>
    <row r="176">
      <c r="A176" s="71" t="n"/>
      <c r="B176" s="8" t="n"/>
      <c r="C176" s="8" t="n"/>
      <c r="D176" s="14" t="n"/>
      <c r="E176" s="8" t="n"/>
      <c r="F176" s="8">
        <f>IF(A176&lt;&gt;"",TEXT(A176,"YYYY-MM"),"")</f>
        <v/>
      </c>
    </row>
    <row r="177">
      <c r="A177" s="71" t="n"/>
      <c r="B177" s="8" t="n"/>
      <c r="C177" s="8" t="n"/>
      <c r="D177" s="14" t="n"/>
      <c r="E177" s="8" t="n"/>
      <c r="F177" s="8">
        <f>IF(A177&lt;&gt;"",TEXT(A177,"YYYY-MM"),"")</f>
        <v/>
      </c>
    </row>
    <row r="178">
      <c r="A178" s="71" t="n"/>
      <c r="B178" s="8" t="n"/>
      <c r="C178" s="8" t="n"/>
      <c r="D178" s="14" t="n"/>
      <c r="E178" s="8" t="n"/>
      <c r="F178" s="8">
        <f>IF(A178&lt;&gt;"",TEXT(A178,"YYYY-MM"),"")</f>
        <v/>
      </c>
    </row>
    <row r="179">
      <c r="A179" s="71" t="n"/>
      <c r="B179" s="8" t="n"/>
      <c r="C179" s="8" t="n"/>
      <c r="D179" s="14" t="n"/>
      <c r="E179" s="8" t="n"/>
      <c r="F179" s="8">
        <f>IF(A179&lt;&gt;"",TEXT(A179,"YYYY-MM"),"")</f>
        <v/>
      </c>
    </row>
    <row r="180">
      <c r="A180" s="71" t="n"/>
      <c r="B180" s="8" t="n"/>
      <c r="C180" s="8" t="n"/>
      <c r="D180" s="14" t="n"/>
      <c r="E180" s="8" t="n"/>
      <c r="F180" s="8">
        <f>IF(A180&lt;&gt;"",TEXT(A180,"YYYY-MM"),"")</f>
        <v/>
      </c>
    </row>
    <row r="181">
      <c r="A181" s="71" t="n"/>
      <c r="B181" s="8" t="n"/>
      <c r="C181" s="8" t="n"/>
      <c r="D181" s="14" t="n"/>
      <c r="E181" s="8" t="n"/>
      <c r="F181" s="8">
        <f>IF(A181&lt;&gt;"",TEXT(A181,"YYYY-MM"),"")</f>
        <v/>
      </c>
    </row>
    <row r="182">
      <c r="A182" s="71" t="n"/>
      <c r="B182" s="8" t="n"/>
      <c r="C182" s="8" t="n"/>
      <c r="D182" s="14" t="n"/>
      <c r="E182" s="8" t="n"/>
      <c r="F182" s="8">
        <f>IF(A182&lt;&gt;"",TEXT(A182,"YYYY-MM"),"")</f>
        <v/>
      </c>
    </row>
    <row r="183">
      <c r="A183" s="71" t="n"/>
      <c r="B183" s="8" t="n"/>
      <c r="C183" s="8" t="n"/>
      <c r="D183" s="14" t="n"/>
      <c r="E183" s="8" t="n"/>
      <c r="F183" s="8">
        <f>IF(A183&lt;&gt;"",TEXT(A183,"YYYY-MM"),"")</f>
        <v/>
      </c>
    </row>
    <row r="184">
      <c r="A184" s="71" t="n"/>
      <c r="B184" s="8" t="n"/>
      <c r="C184" s="8" t="n"/>
      <c r="D184" s="14" t="n"/>
      <c r="E184" s="8" t="n"/>
      <c r="F184" s="8">
        <f>IF(A184&lt;&gt;"",TEXT(A184,"YYYY-MM"),"")</f>
        <v/>
      </c>
    </row>
    <row r="185">
      <c r="A185" s="71" t="n"/>
      <c r="B185" s="8" t="n"/>
      <c r="C185" s="8" t="n"/>
      <c r="D185" s="14" t="n"/>
      <c r="E185" s="8" t="n"/>
      <c r="F185" s="8">
        <f>IF(A185&lt;&gt;"",TEXT(A185,"YYYY-MM"),"")</f>
        <v/>
      </c>
    </row>
    <row r="186">
      <c r="A186" s="71" t="n"/>
      <c r="B186" s="8" t="n"/>
      <c r="C186" s="8" t="n"/>
      <c r="D186" s="14" t="n"/>
      <c r="E186" s="8" t="n"/>
      <c r="F186" s="8">
        <f>IF(A186&lt;&gt;"",TEXT(A186,"YYYY-MM"),"")</f>
        <v/>
      </c>
    </row>
    <row r="187">
      <c r="A187" s="71" t="n"/>
      <c r="B187" s="8" t="n"/>
      <c r="C187" s="8" t="n"/>
      <c r="D187" s="14" t="n"/>
      <c r="E187" s="8" t="n"/>
      <c r="F187" s="8">
        <f>IF(A187&lt;&gt;"",TEXT(A187,"YYYY-MM"),"")</f>
        <v/>
      </c>
    </row>
    <row r="188">
      <c r="A188" s="71" t="n"/>
      <c r="B188" s="8" t="n"/>
      <c r="C188" s="8" t="n"/>
      <c r="D188" s="14" t="n"/>
      <c r="E188" s="8" t="n"/>
      <c r="F188" s="8">
        <f>IF(A188&lt;&gt;"",TEXT(A188,"YYYY-MM"),"")</f>
        <v/>
      </c>
    </row>
    <row r="189">
      <c r="A189" s="71" t="n"/>
      <c r="B189" s="8" t="n"/>
      <c r="C189" s="8" t="n"/>
      <c r="D189" s="14" t="n"/>
      <c r="E189" s="8" t="n"/>
      <c r="F189" s="8">
        <f>IF(A189&lt;&gt;"",TEXT(A189,"YYYY-MM"),"")</f>
        <v/>
      </c>
    </row>
    <row r="190">
      <c r="A190" s="71" t="n"/>
      <c r="B190" s="8" t="n"/>
      <c r="C190" s="8" t="n"/>
      <c r="D190" s="14" t="n"/>
      <c r="E190" s="8" t="n"/>
      <c r="F190" s="8">
        <f>IF(A190&lt;&gt;"",TEXT(A190,"YYYY-MM"),"")</f>
        <v/>
      </c>
    </row>
    <row r="191">
      <c r="A191" s="71" t="n"/>
      <c r="B191" s="8" t="n"/>
      <c r="C191" s="8" t="n"/>
      <c r="D191" s="14" t="n"/>
      <c r="E191" s="8" t="n"/>
      <c r="F191" s="8">
        <f>IF(A191&lt;&gt;"",TEXT(A191,"YYYY-MM"),"")</f>
        <v/>
      </c>
    </row>
    <row r="192">
      <c r="A192" s="71" t="n"/>
      <c r="B192" s="8" t="n"/>
      <c r="C192" s="8" t="n"/>
      <c r="D192" s="14" t="n"/>
      <c r="E192" s="8" t="n"/>
      <c r="F192" s="8">
        <f>IF(A192&lt;&gt;"",TEXT(A192,"YYYY-MM"),"")</f>
        <v/>
      </c>
    </row>
    <row r="193">
      <c r="A193" s="71" t="n"/>
      <c r="B193" s="8" t="n"/>
      <c r="C193" s="8" t="n"/>
      <c r="D193" s="14" t="n"/>
      <c r="E193" s="8" t="n"/>
      <c r="F193" s="8">
        <f>IF(A193&lt;&gt;"",TEXT(A193,"YYYY-MM"),"")</f>
        <v/>
      </c>
    </row>
    <row r="194">
      <c r="A194" s="71" t="n"/>
      <c r="B194" s="8" t="n"/>
      <c r="C194" s="8" t="n"/>
      <c r="D194" s="14" t="n"/>
      <c r="E194" s="8" t="n"/>
      <c r="F194" s="8">
        <f>IF(A194&lt;&gt;"",TEXT(A194,"YYYY-MM"),"")</f>
        <v/>
      </c>
    </row>
    <row r="195">
      <c r="A195" s="71" t="n"/>
      <c r="B195" s="8" t="n"/>
      <c r="C195" s="8" t="n"/>
      <c r="D195" s="14" t="n"/>
      <c r="E195" s="8" t="n"/>
      <c r="F195" s="8">
        <f>IF(A195&lt;&gt;"",TEXT(A195,"YYYY-MM"),"")</f>
        <v/>
      </c>
    </row>
    <row r="196">
      <c r="A196" s="71" t="n"/>
      <c r="B196" s="8" t="n"/>
      <c r="C196" s="8" t="n"/>
      <c r="D196" s="14" t="n"/>
      <c r="E196" s="8" t="n"/>
      <c r="F196" s="8">
        <f>IF(A196&lt;&gt;"",TEXT(A196,"YYYY-MM"),"")</f>
        <v/>
      </c>
    </row>
    <row r="197">
      <c r="A197" s="71" t="n"/>
      <c r="B197" s="8" t="n"/>
      <c r="C197" s="8" t="n"/>
      <c r="D197" s="14" t="n"/>
      <c r="E197" s="8" t="n"/>
      <c r="F197" s="8">
        <f>IF(A197&lt;&gt;"",TEXT(A197,"YYYY-MM"),"")</f>
        <v/>
      </c>
    </row>
    <row r="198">
      <c r="A198" s="71" t="n"/>
      <c r="B198" s="8" t="n"/>
      <c r="C198" s="8" t="n"/>
      <c r="D198" s="14" t="n"/>
      <c r="E198" s="8" t="n"/>
      <c r="F198" s="8">
        <f>IF(A198&lt;&gt;"",TEXT(A198,"YYYY-MM"),"")</f>
        <v/>
      </c>
    </row>
    <row r="199">
      <c r="A199" s="71" t="n"/>
      <c r="B199" s="8" t="n"/>
      <c r="C199" s="8" t="n"/>
      <c r="D199" s="14" t="n"/>
      <c r="E199" s="8" t="n"/>
      <c r="F199" s="8">
        <f>IF(A199&lt;&gt;"",TEXT(A199,"YYYY-MM"),"")</f>
        <v/>
      </c>
    </row>
    <row r="200">
      <c r="A200" s="71" t="n"/>
      <c r="B200" s="8" t="n"/>
      <c r="C200" s="8" t="n"/>
      <c r="D200" s="14" t="n"/>
      <c r="E200" s="8" t="n"/>
      <c r="F200" s="8">
        <f>IF(A200&lt;&gt;"",TEXT(A200,"YYYY-MM"),"")</f>
        <v/>
      </c>
    </row>
    <row r="201">
      <c r="A201" s="71" t="n"/>
      <c r="B201" s="8" t="n"/>
      <c r="C201" s="8" t="n"/>
      <c r="D201" s="14" t="n"/>
      <c r="E201" s="8" t="n"/>
      <c r="F201" s="8">
        <f>IF(A201&lt;&gt;"",TEXT(A201,"YYYY-MM"),"")</f>
        <v/>
      </c>
    </row>
    <row r="202">
      <c r="A202" s="71" t="n"/>
      <c r="B202" s="8" t="n"/>
      <c r="C202" s="8" t="n"/>
      <c r="D202" s="14" t="n"/>
      <c r="E202" s="8" t="n"/>
      <c r="F202" s="8">
        <f>IF(A202&lt;&gt;"",TEXT(A202,"YYYY-MM"),"")</f>
        <v/>
      </c>
    </row>
    <row r="203">
      <c r="A203" s="71" t="n"/>
      <c r="B203" s="8" t="n"/>
      <c r="C203" s="8" t="n"/>
      <c r="D203" s="14" t="n"/>
      <c r="E203" s="8" t="n"/>
      <c r="F203" s="8">
        <f>IF(A203&lt;&gt;"",TEXT(A203,"YYYY-MM"),"")</f>
        <v/>
      </c>
    </row>
    <row r="204">
      <c r="A204" s="71" t="n"/>
      <c r="B204" s="8" t="n"/>
      <c r="C204" s="8" t="n"/>
      <c r="D204" s="14" t="n"/>
      <c r="E204" s="8" t="n"/>
      <c r="F204" s="8">
        <f>IF(A204&lt;&gt;"",TEXT(A204,"YYYY-MM"),"")</f>
        <v/>
      </c>
    </row>
    <row r="205">
      <c r="A205" s="71" t="n"/>
      <c r="B205" s="8" t="n"/>
      <c r="C205" s="8" t="n"/>
      <c r="D205" s="14" t="n"/>
      <c r="E205" s="8" t="n"/>
      <c r="F205" s="8">
        <f>IF(A205&lt;&gt;"",TEXT(A205,"YYYY-MM"),"")</f>
        <v/>
      </c>
    </row>
    <row r="206">
      <c r="A206" s="71" t="n"/>
      <c r="B206" s="8" t="n"/>
      <c r="C206" s="8" t="n"/>
      <c r="D206" s="14" t="n"/>
      <c r="E206" s="8" t="n"/>
      <c r="F206" s="8">
        <f>IF(A206&lt;&gt;"",TEXT(A206,"YYYY-MM"),"")</f>
        <v/>
      </c>
    </row>
    <row r="207">
      <c r="A207" s="71" t="n"/>
      <c r="B207" s="8" t="n"/>
      <c r="C207" s="8" t="n"/>
      <c r="D207" s="14" t="n"/>
      <c r="E207" s="8" t="n"/>
      <c r="F207" s="8">
        <f>IF(A207&lt;&gt;"",TEXT(A207,"YYYY-MM"),"")</f>
        <v/>
      </c>
    </row>
    <row r="208">
      <c r="A208" s="71" t="n"/>
      <c r="B208" s="8" t="n"/>
      <c r="C208" s="8" t="n"/>
      <c r="D208" s="14" t="n"/>
      <c r="E208" s="8" t="n"/>
      <c r="F208" s="8">
        <f>IF(A208&lt;&gt;"",TEXT(A208,"YYYY-MM"),"")</f>
        <v/>
      </c>
    </row>
    <row r="209">
      <c r="A209" s="71" t="n"/>
      <c r="B209" s="8" t="n"/>
      <c r="C209" s="8" t="n"/>
      <c r="D209" s="14" t="n"/>
      <c r="E209" s="8" t="n"/>
      <c r="F209" s="8">
        <f>IF(A209&lt;&gt;"",TEXT(A209,"YYYY-MM"),"")</f>
        <v/>
      </c>
    </row>
    <row r="210">
      <c r="A210" s="71" t="n"/>
      <c r="B210" s="8" t="n"/>
      <c r="C210" s="8" t="n"/>
      <c r="D210" s="14" t="n"/>
      <c r="E210" s="8" t="n"/>
      <c r="F210" s="8">
        <f>IF(A210&lt;&gt;"",TEXT(A210,"YYYY-MM"),"")</f>
        <v/>
      </c>
    </row>
    <row r="211">
      <c r="A211" s="71" t="n"/>
      <c r="B211" s="8" t="n"/>
      <c r="C211" s="8" t="n"/>
      <c r="D211" s="14" t="n"/>
      <c r="E211" s="8" t="n"/>
      <c r="F211" s="8">
        <f>IF(A211&lt;&gt;"",TEXT(A211,"YYYY-MM"),"")</f>
        <v/>
      </c>
    </row>
    <row r="212">
      <c r="A212" s="71" t="n"/>
      <c r="B212" s="8" t="n"/>
      <c r="C212" s="8" t="n"/>
      <c r="D212" s="14" t="n"/>
      <c r="E212" s="8" t="n"/>
      <c r="F212" s="8">
        <f>IF(A212&lt;&gt;"",TEXT(A212,"YYYY-MM"),"")</f>
        <v/>
      </c>
    </row>
    <row r="213">
      <c r="A213" s="71" t="n"/>
      <c r="B213" s="8" t="n"/>
      <c r="C213" s="8" t="n"/>
      <c r="D213" s="14" t="n"/>
      <c r="E213" s="8" t="n"/>
      <c r="F213" s="8">
        <f>IF(A213&lt;&gt;"",TEXT(A213,"YYYY-MM"),"")</f>
        <v/>
      </c>
    </row>
    <row r="214">
      <c r="A214" s="71" t="n"/>
      <c r="B214" s="8" t="n"/>
      <c r="C214" s="8" t="n"/>
      <c r="D214" s="14" t="n"/>
      <c r="E214" s="8" t="n"/>
      <c r="F214" s="8">
        <f>IF(A214&lt;&gt;"",TEXT(A214,"YYYY-MM"),"")</f>
        <v/>
      </c>
    </row>
    <row r="215">
      <c r="A215" s="71" t="n"/>
      <c r="B215" s="8" t="n"/>
      <c r="C215" s="8" t="n"/>
      <c r="D215" s="14" t="n"/>
      <c r="E215" s="8" t="n"/>
      <c r="F215" s="8">
        <f>IF(A215&lt;&gt;"",TEXT(A215,"YYYY-MM"),"")</f>
        <v/>
      </c>
    </row>
    <row r="216">
      <c r="A216" s="71" t="n"/>
      <c r="B216" s="8" t="n"/>
      <c r="C216" s="8" t="n"/>
      <c r="D216" s="14" t="n"/>
      <c r="E216" s="8" t="n"/>
      <c r="F216" s="8">
        <f>IF(A216&lt;&gt;"",TEXT(A216,"YYYY-MM"),"")</f>
        <v/>
      </c>
    </row>
    <row r="217">
      <c r="A217" s="71" t="n"/>
      <c r="B217" s="8" t="n"/>
      <c r="C217" s="8" t="n"/>
      <c r="D217" s="14" t="n"/>
      <c r="E217" s="8" t="n"/>
      <c r="F217" s="8">
        <f>IF(A217&lt;&gt;"",TEXT(A217,"YYYY-MM"),"")</f>
        <v/>
      </c>
    </row>
    <row r="218">
      <c r="A218" s="71" t="n"/>
      <c r="B218" s="8" t="n"/>
      <c r="C218" s="8" t="n"/>
      <c r="D218" s="14" t="n"/>
      <c r="E218" s="8" t="n"/>
      <c r="F218" s="8">
        <f>IF(A218&lt;&gt;"",TEXT(A218,"YYYY-MM"),"")</f>
        <v/>
      </c>
    </row>
    <row r="219">
      <c r="A219" s="71" t="n"/>
      <c r="B219" s="8" t="n"/>
      <c r="C219" s="8" t="n"/>
      <c r="D219" s="14" t="n"/>
      <c r="E219" s="8" t="n"/>
      <c r="F219" s="8">
        <f>IF(A219&lt;&gt;"",TEXT(A219,"YYYY-MM"),"")</f>
        <v/>
      </c>
    </row>
    <row r="220">
      <c r="A220" s="71" t="n"/>
      <c r="B220" s="8" t="n"/>
      <c r="C220" s="8" t="n"/>
      <c r="D220" s="14" t="n"/>
      <c r="E220" s="8" t="n"/>
      <c r="F220" s="8">
        <f>IF(A220&lt;&gt;"",TEXT(A220,"YYYY-MM"),"")</f>
        <v/>
      </c>
    </row>
    <row r="221">
      <c r="A221" s="71" t="n"/>
      <c r="B221" s="8" t="n"/>
      <c r="C221" s="8" t="n"/>
      <c r="D221" s="14" t="n"/>
      <c r="E221" s="8" t="n"/>
      <c r="F221" s="8">
        <f>IF(A221&lt;&gt;"",TEXT(A221,"YYYY-MM"),"")</f>
        <v/>
      </c>
    </row>
    <row r="222">
      <c r="A222" s="71" t="n"/>
      <c r="B222" s="8" t="n"/>
      <c r="C222" s="8" t="n"/>
      <c r="D222" s="14" t="n"/>
      <c r="E222" s="8" t="n"/>
      <c r="F222" s="8">
        <f>IF(A222&lt;&gt;"",TEXT(A222,"YYYY-MM"),"")</f>
        <v/>
      </c>
    </row>
    <row r="223">
      <c r="A223" s="71" t="n"/>
      <c r="B223" s="8" t="n"/>
      <c r="C223" s="8" t="n"/>
      <c r="D223" s="14" t="n"/>
      <c r="E223" s="8" t="n"/>
      <c r="F223" s="8">
        <f>IF(A223&lt;&gt;"",TEXT(A223,"YYYY-MM"),"")</f>
        <v/>
      </c>
    </row>
    <row r="224">
      <c r="A224" s="71" t="n"/>
      <c r="B224" s="8" t="n"/>
      <c r="C224" s="8" t="n"/>
      <c r="D224" s="14" t="n"/>
      <c r="E224" s="8" t="n"/>
      <c r="F224" s="8">
        <f>IF(A224&lt;&gt;"",TEXT(A224,"YYYY-MM"),"")</f>
        <v/>
      </c>
    </row>
    <row r="225">
      <c r="A225" s="71" t="n"/>
      <c r="B225" s="8" t="n"/>
      <c r="C225" s="8" t="n"/>
      <c r="D225" s="14" t="n"/>
      <c r="E225" s="8" t="n"/>
      <c r="F225" s="8">
        <f>IF(A225&lt;&gt;"",TEXT(A225,"YYYY-MM"),"")</f>
        <v/>
      </c>
    </row>
    <row r="226">
      <c r="A226" s="71" t="n"/>
      <c r="B226" s="8" t="n"/>
      <c r="C226" s="8" t="n"/>
      <c r="D226" s="14" t="n"/>
      <c r="E226" s="8" t="n"/>
      <c r="F226" s="8">
        <f>IF(A226&lt;&gt;"",TEXT(A226,"YYYY-MM"),"")</f>
        <v/>
      </c>
    </row>
    <row r="227">
      <c r="A227" s="71" t="n"/>
      <c r="B227" s="8" t="n"/>
      <c r="C227" s="8" t="n"/>
      <c r="D227" s="14" t="n"/>
      <c r="E227" s="8" t="n"/>
      <c r="F227" s="8">
        <f>IF(A227&lt;&gt;"",TEXT(A227,"YYYY-MM"),"")</f>
        <v/>
      </c>
    </row>
    <row r="228">
      <c r="A228" s="71" t="n"/>
      <c r="B228" s="8" t="n"/>
      <c r="C228" s="8" t="n"/>
      <c r="D228" s="14" t="n"/>
      <c r="E228" s="8" t="n"/>
      <c r="F228" s="8">
        <f>IF(A228&lt;&gt;"",TEXT(A228,"YYYY-MM"),"")</f>
        <v/>
      </c>
    </row>
    <row r="229">
      <c r="A229" s="71" t="n"/>
      <c r="B229" s="8" t="n"/>
      <c r="C229" s="8" t="n"/>
      <c r="D229" s="14" t="n"/>
      <c r="E229" s="8" t="n"/>
      <c r="F229" s="8">
        <f>IF(A229&lt;&gt;"",TEXT(A229,"YYYY-MM"),"")</f>
        <v/>
      </c>
    </row>
    <row r="230">
      <c r="A230" s="71" t="n"/>
      <c r="B230" s="8" t="n"/>
      <c r="C230" s="8" t="n"/>
      <c r="D230" s="14" t="n"/>
      <c r="E230" s="8" t="n"/>
      <c r="F230" s="8">
        <f>IF(A230&lt;&gt;"",TEXT(A230,"YYYY-MM"),"")</f>
        <v/>
      </c>
    </row>
    <row r="231">
      <c r="A231" s="71" t="n"/>
      <c r="B231" s="8" t="n"/>
      <c r="C231" s="8" t="n"/>
      <c r="D231" s="14" t="n"/>
      <c r="E231" s="8" t="n"/>
      <c r="F231" s="8">
        <f>IF(A231&lt;&gt;"",TEXT(A231,"YYYY-MM"),"")</f>
        <v/>
      </c>
    </row>
    <row r="232">
      <c r="A232" s="71" t="n"/>
      <c r="B232" s="8" t="n"/>
      <c r="C232" s="8" t="n"/>
      <c r="D232" s="14" t="n"/>
      <c r="E232" s="8" t="n"/>
      <c r="F232" s="8">
        <f>IF(A232&lt;&gt;"",TEXT(A232,"YYYY-MM"),"")</f>
        <v/>
      </c>
    </row>
    <row r="233">
      <c r="A233" s="71" t="n"/>
      <c r="B233" s="8" t="n"/>
      <c r="C233" s="8" t="n"/>
      <c r="D233" s="14" t="n"/>
      <c r="E233" s="8" t="n"/>
      <c r="F233" s="8">
        <f>IF(A233&lt;&gt;"",TEXT(A233,"YYYY-MM"),"")</f>
        <v/>
      </c>
    </row>
    <row r="234">
      <c r="A234" s="71" t="n"/>
      <c r="B234" s="8" t="n"/>
      <c r="C234" s="8" t="n"/>
      <c r="D234" s="14" t="n"/>
      <c r="E234" s="8" t="n"/>
      <c r="F234" s="8">
        <f>IF(A234&lt;&gt;"",TEXT(A234,"YYYY-MM"),"")</f>
        <v/>
      </c>
    </row>
    <row r="235">
      <c r="A235" s="71" t="n"/>
      <c r="B235" s="8" t="n"/>
      <c r="C235" s="8" t="n"/>
      <c r="D235" s="14" t="n"/>
      <c r="E235" s="8" t="n"/>
      <c r="F235" s="8">
        <f>IF(A235&lt;&gt;"",TEXT(A235,"YYYY-MM"),"")</f>
        <v/>
      </c>
    </row>
    <row r="236">
      <c r="A236" s="71" t="n"/>
      <c r="B236" s="8" t="n"/>
      <c r="C236" s="8" t="n"/>
      <c r="D236" s="14" t="n"/>
      <c r="E236" s="8" t="n"/>
      <c r="F236" s="8">
        <f>IF(A236&lt;&gt;"",TEXT(A236,"YYYY-MM"),"")</f>
        <v/>
      </c>
    </row>
    <row r="237">
      <c r="A237" s="71" t="n"/>
      <c r="B237" s="8" t="n"/>
      <c r="C237" s="8" t="n"/>
      <c r="D237" s="14" t="n"/>
      <c r="E237" s="8" t="n"/>
      <c r="F237" s="8">
        <f>IF(A237&lt;&gt;"",TEXT(A237,"YYYY-MM"),"")</f>
        <v/>
      </c>
    </row>
    <row r="238">
      <c r="A238" s="71" t="n"/>
      <c r="B238" s="8" t="n"/>
      <c r="C238" s="8" t="n"/>
      <c r="D238" s="14" t="n"/>
      <c r="E238" s="8" t="n"/>
      <c r="F238" s="8">
        <f>IF(A238&lt;&gt;"",TEXT(A238,"YYYY-MM"),"")</f>
        <v/>
      </c>
    </row>
    <row r="239">
      <c r="A239" s="71" t="n"/>
      <c r="B239" s="8" t="n"/>
      <c r="C239" s="8" t="n"/>
      <c r="D239" s="14" t="n"/>
      <c r="E239" s="8" t="n"/>
      <c r="F239" s="8">
        <f>IF(A239&lt;&gt;"",TEXT(A239,"YYYY-MM"),"")</f>
        <v/>
      </c>
    </row>
    <row r="240">
      <c r="A240" s="71" t="n"/>
      <c r="B240" s="8" t="n"/>
      <c r="C240" s="8" t="n"/>
      <c r="D240" s="14" t="n"/>
      <c r="E240" s="8" t="n"/>
      <c r="F240" s="8">
        <f>IF(A240&lt;&gt;"",TEXT(A240,"YYYY-MM"),"")</f>
        <v/>
      </c>
    </row>
    <row r="241">
      <c r="A241" s="71" t="n"/>
      <c r="B241" s="8" t="n"/>
      <c r="C241" s="8" t="n"/>
      <c r="D241" s="14" t="n"/>
      <c r="E241" s="8" t="n"/>
      <c r="F241" s="8">
        <f>IF(A241&lt;&gt;"",TEXT(A241,"YYYY-MM"),"")</f>
        <v/>
      </c>
    </row>
    <row r="242">
      <c r="A242" s="71" t="n"/>
      <c r="B242" s="8" t="n"/>
      <c r="C242" s="8" t="n"/>
      <c r="D242" s="14" t="n"/>
      <c r="E242" s="8" t="n"/>
      <c r="F242" s="8">
        <f>IF(A242&lt;&gt;"",TEXT(A242,"YYYY-MM"),"")</f>
        <v/>
      </c>
    </row>
    <row r="243">
      <c r="A243" s="71" t="n"/>
      <c r="B243" s="8" t="n"/>
      <c r="C243" s="8" t="n"/>
      <c r="D243" s="14" t="n"/>
      <c r="E243" s="8" t="n"/>
      <c r="F243" s="8">
        <f>IF(A243&lt;&gt;"",TEXT(A243,"YYYY-MM"),"")</f>
        <v/>
      </c>
    </row>
    <row r="244">
      <c r="A244" s="71" t="n"/>
      <c r="B244" s="8" t="n"/>
      <c r="C244" s="8" t="n"/>
      <c r="D244" s="14" t="n"/>
      <c r="E244" s="8" t="n"/>
      <c r="F244" s="8">
        <f>IF(A244&lt;&gt;"",TEXT(A244,"YYYY-MM"),"")</f>
        <v/>
      </c>
    </row>
    <row r="245">
      <c r="A245" s="71" t="n"/>
      <c r="B245" s="8" t="n"/>
      <c r="C245" s="8" t="n"/>
      <c r="D245" s="14" t="n"/>
      <c r="E245" s="8" t="n"/>
      <c r="F245" s="8">
        <f>IF(A245&lt;&gt;"",TEXT(A245,"YYYY-MM"),"")</f>
        <v/>
      </c>
    </row>
    <row r="246">
      <c r="A246" s="71" t="n"/>
      <c r="B246" s="8" t="n"/>
      <c r="C246" s="8" t="n"/>
      <c r="D246" s="14" t="n"/>
      <c r="E246" s="8" t="n"/>
      <c r="F246" s="8">
        <f>IF(A246&lt;&gt;"",TEXT(A246,"YYYY-MM"),"")</f>
        <v/>
      </c>
    </row>
    <row r="247">
      <c r="A247" s="71" t="n"/>
      <c r="B247" s="8" t="n"/>
      <c r="C247" s="8" t="n"/>
      <c r="D247" s="14" t="n"/>
      <c r="E247" s="8" t="n"/>
      <c r="F247" s="8">
        <f>IF(A247&lt;&gt;"",TEXT(A247,"YYYY-MM"),"")</f>
        <v/>
      </c>
    </row>
    <row r="248">
      <c r="A248" s="71" t="n"/>
      <c r="B248" s="8" t="n"/>
      <c r="C248" s="8" t="n"/>
      <c r="D248" s="14" t="n"/>
      <c r="E248" s="8" t="n"/>
      <c r="F248" s="8">
        <f>IF(A248&lt;&gt;"",TEXT(A248,"YYYY-MM"),"")</f>
        <v/>
      </c>
    </row>
    <row r="249">
      <c r="A249" s="71" t="n"/>
      <c r="B249" s="8" t="n"/>
      <c r="C249" s="8" t="n"/>
      <c r="D249" s="14" t="n"/>
      <c r="E249" s="8" t="n"/>
      <c r="F249" s="8">
        <f>IF(A249&lt;&gt;"",TEXT(A249,"YYYY-MM"),"")</f>
        <v/>
      </c>
    </row>
    <row r="250">
      <c r="A250" s="71" t="n"/>
      <c r="B250" s="8" t="n"/>
      <c r="C250" s="8" t="n"/>
      <c r="D250" s="14" t="n"/>
      <c r="E250" s="8" t="n"/>
      <c r="F250" s="8">
        <f>IF(A250&lt;&gt;"",TEXT(A250,"YYYY-MM"),"")</f>
        <v/>
      </c>
    </row>
    <row r="251">
      <c r="A251" s="71" t="n"/>
      <c r="B251" s="8" t="n"/>
      <c r="C251" s="8" t="n"/>
      <c r="D251" s="14" t="n"/>
      <c r="E251" s="8" t="n"/>
      <c r="F251" s="8">
        <f>IF(A251&lt;&gt;"",TEXT(A251,"YYYY-MM"),"")</f>
        <v/>
      </c>
    </row>
    <row r="252">
      <c r="A252" s="71" t="n"/>
      <c r="B252" s="8" t="n"/>
      <c r="C252" s="8" t="n"/>
      <c r="D252" s="14" t="n"/>
      <c r="E252" s="8" t="n"/>
      <c r="F252" s="8">
        <f>IF(A252&lt;&gt;"",TEXT(A252,"YYYY-MM"),"")</f>
        <v/>
      </c>
    </row>
    <row r="253">
      <c r="A253" s="71" t="n"/>
      <c r="B253" s="8" t="n"/>
      <c r="C253" s="8" t="n"/>
      <c r="D253" s="14" t="n"/>
      <c r="E253" s="8" t="n"/>
      <c r="F253" s="8">
        <f>IF(A253&lt;&gt;"",TEXT(A253,"YYYY-MM"),"")</f>
        <v/>
      </c>
    </row>
    <row r="254">
      <c r="A254" s="71" t="n"/>
      <c r="B254" s="8" t="n"/>
      <c r="C254" s="8" t="n"/>
      <c r="D254" s="14" t="n"/>
      <c r="E254" s="8" t="n"/>
      <c r="F254" s="8">
        <f>IF(A254&lt;&gt;"",TEXT(A254,"YYYY-MM"),"")</f>
        <v/>
      </c>
    </row>
    <row r="255">
      <c r="A255" s="71" t="n"/>
      <c r="B255" s="8" t="n"/>
      <c r="C255" s="8" t="n"/>
      <c r="D255" s="14" t="n"/>
      <c r="E255" s="8" t="n"/>
      <c r="F255" s="8">
        <f>IF(A255&lt;&gt;"",TEXT(A255,"YYYY-MM"),"")</f>
        <v/>
      </c>
    </row>
    <row r="256">
      <c r="A256" s="71" t="n"/>
      <c r="B256" s="8" t="n"/>
      <c r="C256" s="8" t="n"/>
      <c r="D256" s="14" t="n"/>
      <c r="E256" s="8" t="n"/>
      <c r="F256" s="8">
        <f>IF(A256&lt;&gt;"",TEXT(A256,"YYYY-MM"),"")</f>
        <v/>
      </c>
    </row>
    <row r="257">
      <c r="A257" s="71" t="n"/>
      <c r="B257" s="8" t="n"/>
      <c r="C257" s="8" t="n"/>
      <c r="D257" s="14" t="n"/>
      <c r="E257" s="8" t="n"/>
      <c r="F257" s="8">
        <f>IF(A257&lt;&gt;"",TEXT(A257,"YYYY-MM"),"")</f>
        <v/>
      </c>
    </row>
    <row r="258">
      <c r="A258" s="71" t="n"/>
      <c r="B258" s="8" t="n"/>
      <c r="C258" s="8" t="n"/>
      <c r="D258" s="14" t="n"/>
      <c r="E258" s="8" t="n"/>
      <c r="F258" s="8">
        <f>IF(A258&lt;&gt;"",TEXT(A258,"YYYY-MM"),"")</f>
        <v/>
      </c>
    </row>
    <row r="259">
      <c r="A259" s="71" t="n"/>
      <c r="B259" s="8" t="n"/>
      <c r="C259" s="8" t="n"/>
      <c r="D259" s="14" t="n"/>
      <c r="E259" s="8" t="n"/>
      <c r="F259" s="8">
        <f>IF(A259&lt;&gt;"",TEXT(A259,"YYYY-MM"),"")</f>
        <v/>
      </c>
    </row>
    <row r="260">
      <c r="A260" s="71" t="n"/>
      <c r="B260" s="8" t="n"/>
      <c r="C260" s="8" t="n"/>
      <c r="D260" s="14" t="n"/>
      <c r="E260" s="8" t="n"/>
      <c r="F260" s="8">
        <f>IF(A260&lt;&gt;"",TEXT(A260,"YYYY-MM"),"")</f>
        <v/>
      </c>
    </row>
    <row r="261">
      <c r="A261" s="71" t="n"/>
      <c r="B261" s="8" t="n"/>
      <c r="C261" s="8" t="n"/>
      <c r="D261" s="14" t="n"/>
      <c r="E261" s="8" t="n"/>
      <c r="F261" s="8">
        <f>IF(A261&lt;&gt;"",TEXT(A261,"YYYY-MM"),"")</f>
        <v/>
      </c>
    </row>
    <row r="262">
      <c r="A262" s="71" t="n"/>
      <c r="B262" s="8" t="n"/>
      <c r="C262" s="8" t="n"/>
      <c r="D262" s="14" t="n"/>
      <c r="E262" s="8" t="n"/>
      <c r="F262" s="8">
        <f>IF(A262&lt;&gt;"",TEXT(A262,"YYYY-MM"),"")</f>
        <v/>
      </c>
    </row>
    <row r="263">
      <c r="A263" s="71" t="n"/>
      <c r="B263" s="8" t="n"/>
      <c r="C263" s="8" t="n"/>
      <c r="D263" s="14" t="n"/>
      <c r="E263" s="8" t="n"/>
      <c r="F263" s="8">
        <f>IF(A263&lt;&gt;"",TEXT(A263,"YYYY-MM"),"")</f>
        <v/>
      </c>
    </row>
    <row r="264">
      <c r="A264" s="71" t="n"/>
      <c r="B264" s="8" t="n"/>
      <c r="C264" s="8" t="n"/>
      <c r="D264" s="14" t="n"/>
      <c r="E264" s="8" t="n"/>
      <c r="F264" s="8">
        <f>IF(A264&lt;&gt;"",TEXT(A264,"YYYY-MM"),"")</f>
        <v/>
      </c>
    </row>
    <row r="265">
      <c r="A265" s="71" t="n"/>
      <c r="B265" s="8" t="n"/>
      <c r="C265" s="8" t="n"/>
      <c r="D265" s="14" t="n"/>
      <c r="E265" s="8" t="n"/>
      <c r="F265" s="8">
        <f>IF(A265&lt;&gt;"",TEXT(A265,"YYYY-MM"),"")</f>
        <v/>
      </c>
    </row>
    <row r="266">
      <c r="A266" s="71" t="n"/>
      <c r="B266" s="8" t="n"/>
      <c r="C266" s="8" t="n"/>
      <c r="D266" s="14" t="n"/>
      <c r="E266" s="8" t="n"/>
      <c r="F266" s="8">
        <f>IF(A266&lt;&gt;"",TEXT(A266,"YYYY-MM"),"")</f>
        <v/>
      </c>
    </row>
    <row r="267">
      <c r="A267" s="71" t="n"/>
      <c r="B267" s="8" t="n"/>
      <c r="C267" s="8" t="n"/>
      <c r="D267" s="14" t="n"/>
      <c r="E267" s="8" t="n"/>
      <c r="F267" s="8">
        <f>IF(A267&lt;&gt;"",TEXT(A267,"YYYY-MM"),"")</f>
        <v/>
      </c>
    </row>
    <row r="268">
      <c r="A268" s="71" t="n"/>
      <c r="B268" s="8" t="n"/>
      <c r="C268" s="8" t="n"/>
      <c r="D268" s="14" t="n"/>
      <c r="E268" s="8" t="n"/>
      <c r="F268" s="8">
        <f>IF(A268&lt;&gt;"",TEXT(A268,"YYYY-MM"),"")</f>
        <v/>
      </c>
    </row>
    <row r="269">
      <c r="A269" s="71" t="n"/>
      <c r="B269" s="8" t="n"/>
      <c r="C269" s="8" t="n"/>
      <c r="D269" s="14" t="n"/>
      <c r="E269" s="8" t="n"/>
      <c r="F269" s="8">
        <f>IF(A269&lt;&gt;"",TEXT(A269,"YYYY-MM"),"")</f>
        <v/>
      </c>
    </row>
    <row r="270">
      <c r="A270" s="71" t="n"/>
      <c r="B270" s="8" t="n"/>
      <c r="C270" s="8" t="n"/>
      <c r="D270" s="14" t="n"/>
      <c r="E270" s="8" t="n"/>
      <c r="F270" s="8">
        <f>IF(A270&lt;&gt;"",TEXT(A270,"YYYY-MM"),"")</f>
        <v/>
      </c>
    </row>
    <row r="271">
      <c r="A271" s="71" t="n"/>
      <c r="B271" s="8" t="n"/>
      <c r="C271" s="8" t="n"/>
      <c r="D271" s="14" t="n"/>
      <c r="E271" s="8" t="n"/>
      <c r="F271" s="8">
        <f>IF(A271&lt;&gt;"",TEXT(A271,"YYYY-MM"),"")</f>
        <v/>
      </c>
    </row>
    <row r="272">
      <c r="A272" s="71" t="n"/>
      <c r="B272" s="8" t="n"/>
      <c r="C272" s="8" t="n"/>
      <c r="D272" s="14" t="n"/>
      <c r="E272" s="8" t="n"/>
      <c r="F272" s="8">
        <f>IF(A272&lt;&gt;"",TEXT(A272,"YYYY-MM"),"")</f>
        <v/>
      </c>
    </row>
    <row r="273">
      <c r="A273" s="71" t="n"/>
      <c r="B273" s="8" t="n"/>
      <c r="C273" s="8" t="n"/>
      <c r="D273" s="14" t="n"/>
      <c r="E273" s="8" t="n"/>
      <c r="F273" s="8">
        <f>IF(A273&lt;&gt;"",TEXT(A273,"YYYY-MM"),"")</f>
        <v/>
      </c>
    </row>
    <row r="274">
      <c r="A274" s="71" t="n"/>
      <c r="B274" s="8" t="n"/>
      <c r="C274" s="8" t="n"/>
      <c r="D274" s="14" t="n"/>
      <c r="E274" s="8" t="n"/>
      <c r="F274" s="8">
        <f>IF(A274&lt;&gt;"",TEXT(A274,"YYYY-MM"),"")</f>
        <v/>
      </c>
    </row>
    <row r="275">
      <c r="A275" s="71" t="n"/>
      <c r="B275" s="8" t="n"/>
      <c r="C275" s="8" t="n"/>
      <c r="D275" s="14" t="n"/>
      <c r="E275" s="8" t="n"/>
      <c r="F275" s="8">
        <f>IF(A275&lt;&gt;"",TEXT(A275,"YYYY-MM"),"")</f>
        <v/>
      </c>
    </row>
    <row r="276">
      <c r="A276" s="71" t="n"/>
      <c r="B276" s="8" t="n"/>
      <c r="C276" s="8" t="n"/>
      <c r="D276" s="14" t="n"/>
      <c r="E276" s="8" t="n"/>
      <c r="F276" s="8">
        <f>IF(A276&lt;&gt;"",TEXT(A276,"YYYY-MM"),"")</f>
        <v/>
      </c>
    </row>
    <row r="277">
      <c r="A277" s="71" t="n"/>
      <c r="B277" s="8" t="n"/>
      <c r="C277" s="8" t="n"/>
      <c r="D277" s="14" t="n"/>
      <c r="E277" s="8" t="n"/>
      <c r="F277" s="8">
        <f>IF(A277&lt;&gt;"",TEXT(A277,"YYYY-MM"),"")</f>
        <v/>
      </c>
    </row>
    <row r="278">
      <c r="A278" s="71" t="n"/>
      <c r="B278" s="8" t="n"/>
      <c r="C278" s="8" t="n"/>
      <c r="D278" s="14" t="n"/>
      <c r="E278" s="8" t="n"/>
      <c r="F278" s="8">
        <f>IF(A278&lt;&gt;"",TEXT(A278,"YYYY-MM"),"")</f>
        <v/>
      </c>
    </row>
    <row r="279">
      <c r="A279" s="71" t="n"/>
      <c r="B279" s="8" t="n"/>
      <c r="C279" s="8" t="n"/>
      <c r="D279" s="14" t="n"/>
      <c r="E279" s="8" t="n"/>
      <c r="F279" s="8">
        <f>IF(A279&lt;&gt;"",TEXT(A279,"YYYY-MM"),"")</f>
        <v/>
      </c>
    </row>
    <row r="280">
      <c r="A280" s="71" t="n"/>
      <c r="B280" s="8" t="n"/>
      <c r="C280" s="8" t="n"/>
      <c r="D280" s="14" t="n"/>
      <c r="E280" s="8" t="n"/>
      <c r="F280" s="8">
        <f>IF(A280&lt;&gt;"",TEXT(A280,"YYYY-MM"),"")</f>
        <v/>
      </c>
    </row>
    <row r="281">
      <c r="A281" s="71" t="n"/>
      <c r="B281" s="8" t="n"/>
      <c r="C281" s="8" t="n"/>
      <c r="D281" s="14" t="n"/>
      <c r="E281" s="8" t="n"/>
      <c r="F281" s="8">
        <f>IF(A281&lt;&gt;"",TEXT(A281,"YYYY-MM"),"")</f>
        <v/>
      </c>
    </row>
    <row r="282">
      <c r="A282" s="71" t="n"/>
      <c r="B282" s="8" t="n"/>
      <c r="C282" s="8" t="n"/>
      <c r="D282" s="14" t="n"/>
      <c r="E282" s="8" t="n"/>
      <c r="F282" s="8">
        <f>IF(A282&lt;&gt;"",TEXT(A282,"YYYY-MM"),"")</f>
        <v/>
      </c>
    </row>
    <row r="283">
      <c r="A283" s="71" t="n"/>
      <c r="B283" s="8" t="n"/>
      <c r="C283" s="8" t="n"/>
      <c r="D283" s="14" t="n"/>
      <c r="E283" s="8" t="n"/>
      <c r="F283" s="8">
        <f>IF(A283&lt;&gt;"",TEXT(A283,"YYYY-MM"),"")</f>
        <v/>
      </c>
    </row>
    <row r="284">
      <c r="A284" s="71" t="n"/>
      <c r="B284" s="8" t="n"/>
      <c r="C284" s="8" t="n"/>
      <c r="D284" s="14" t="n"/>
      <c r="E284" s="8" t="n"/>
      <c r="F284" s="8">
        <f>IF(A284&lt;&gt;"",TEXT(A284,"YYYY-MM"),"")</f>
        <v/>
      </c>
    </row>
    <row r="285">
      <c r="A285" s="71" t="n"/>
      <c r="B285" s="8" t="n"/>
      <c r="C285" s="8" t="n"/>
      <c r="D285" s="14" t="n"/>
      <c r="E285" s="8" t="n"/>
      <c r="F285" s="8">
        <f>IF(A285&lt;&gt;"",TEXT(A285,"YYYY-MM"),"")</f>
        <v/>
      </c>
    </row>
    <row r="286">
      <c r="A286" s="71" t="n"/>
      <c r="B286" s="8" t="n"/>
      <c r="C286" s="8" t="n"/>
      <c r="D286" s="14" t="n"/>
      <c r="E286" s="8" t="n"/>
      <c r="F286" s="8">
        <f>IF(A286&lt;&gt;"",TEXT(A286,"YYYY-MM"),"")</f>
        <v/>
      </c>
    </row>
    <row r="287">
      <c r="A287" s="71" t="n"/>
      <c r="B287" s="8" t="n"/>
      <c r="C287" s="8" t="n"/>
      <c r="D287" s="14" t="n"/>
      <c r="E287" s="8" t="n"/>
      <c r="F287" s="8">
        <f>IF(A287&lt;&gt;"",TEXT(A287,"YYYY-MM"),"")</f>
        <v/>
      </c>
    </row>
    <row r="288">
      <c r="A288" s="71" t="n"/>
      <c r="B288" s="8" t="n"/>
      <c r="C288" s="8" t="n"/>
      <c r="D288" s="14" t="n"/>
      <c r="E288" s="8" t="n"/>
      <c r="F288" s="8">
        <f>IF(A288&lt;&gt;"",TEXT(A288,"YYYY-MM"),"")</f>
        <v/>
      </c>
    </row>
    <row r="289">
      <c r="A289" s="71" t="n"/>
      <c r="B289" s="8" t="n"/>
      <c r="C289" s="8" t="n"/>
      <c r="D289" s="14" t="n"/>
      <c r="E289" s="8" t="n"/>
      <c r="F289" s="8">
        <f>IF(A289&lt;&gt;"",TEXT(A289,"YYYY-MM"),"")</f>
        <v/>
      </c>
    </row>
    <row r="290">
      <c r="A290" s="71" t="n"/>
      <c r="B290" s="8" t="n"/>
      <c r="C290" s="8" t="n"/>
      <c r="D290" s="14" t="n"/>
      <c r="E290" s="8" t="n"/>
      <c r="F290" s="8">
        <f>IF(A290&lt;&gt;"",TEXT(A290,"YYYY-MM"),"")</f>
        <v/>
      </c>
    </row>
    <row r="291">
      <c r="A291" s="71" t="n"/>
      <c r="B291" s="8" t="n"/>
      <c r="C291" s="8" t="n"/>
      <c r="D291" s="14" t="n"/>
      <c r="E291" s="8" t="n"/>
      <c r="F291" s="8">
        <f>IF(A291&lt;&gt;"",TEXT(A291,"YYYY-MM"),"")</f>
        <v/>
      </c>
    </row>
    <row r="292">
      <c r="A292" s="71" t="n"/>
      <c r="B292" s="8" t="n"/>
      <c r="C292" s="8" t="n"/>
      <c r="D292" s="14" t="n"/>
      <c r="E292" s="8" t="n"/>
      <c r="F292" s="8">
        <f>IF(A292&lt;&gt;"",TEXT(A292,"YYYY-MM"),"")</f>
        <v/>
      </c>
    </row>
    <row r="293">
      <c r="A293" s="71" t="n"/>
      <c r="B293" s="8" t="n"/>
      <c r="C293" s="8" t="n"/>
      <c r="D293" s="14" t="n"/>
      <c r="E293" s="8" t="n"/>
      <c r="F293" s="8">
        <f>IF(A293&lt;&gt;"",TEXT(A293,"YYYY-MM"),"")</f>
        <v/>
      </c>
    </row>
    <row r="294">
      <c r="A294" s="71" t="n"/>
      <c r="B294" s="8" t="n"/>
      <c r="C294" s="8" t="n"/>
      <c r="D294" s="14" t="n"/>
      <c r="E294" s="8" t="n"/>
      <c r="F294" s="8">
        <f>IF(A294&lt;&gt;"",TEXT(A294,"YYYY-MM"),"")</f>
        <v/>
      </c>
    </row>
    <row r="295">
      <c r="A295" s="71" t="n"/>
      <c r="B295" s="8" t="n"/>
      <c r="C295" s="8" t="n"/>
      <c r="D295" s="14" t="n"/>
      <c r="E295" s="8" t="n"/>
      <c r="F295" s="8">
        <f>IF(A295&lt;&gt;"",TEXT(A295,"YYYY-MM"),"")</f>
        <v/>
      </c>
    </row>
    <row r="296">
      <c r="A296" s="71" t="n"/>
      <c r="B296" s="8" t="n"/>
      <c r="C296" s="8" t="n"/>
      <c r="D296" s="14" t="n"/>
      <c r="E296" s="8" t="n"/>
      <c r="F296" s="8">
        <f>IF(A296&lt;&gt;"",TEXT(A296,"YYYY-MM"),"")</f>
        <v/>
      </c>
    </row>
    <row r="297">
      <c r="A297" s="71" t="n"/>
      <c r="B297" s="8" t="n"/>
      <c r="C297" s="8" t="n"/>
      <c r="D297" s="14" t="n"/>
      <c r="E297" s="8" t="n"/>
      <c r="F297" s="8">
        <f>IF(A297&lt;&gt;"",TEXT(A297,"YYYY-MM"),"")</f>
        <v/>
      </c>
    </row>
    <row r="298">
      <c r="A298" s="71" t="n"/>
      <c r="B298" s="8" t="n"/>
      <c r="C298" s="8" t="n"/>
      <c r="D298" s="14" t="n"/>
      <c r="E298" s="8" t="n"/>
      <c r="F298" s="8">
        <f>IF(A298&lt;&gt;"",TEXT(A298,"YYYY-MM"),"")</f>
        <v/>
      </c>
    </row>
    <row r="299">
      <c r="A299" s="71" t="n"/>
      <c r="B299" s="8" t="n"/>
      <c r="C299" s="8" t="n"/>
      <c r="D299" s="14" t="n"/>
      <c r="E299" s="8" t="n"/>
      <c r="F299" s="8">
        <f>IF(A299&lt;&gt;"",TEXT(A299,"YYYY-MM"),"")</f>
        <v/>
      </c>
    </row>
    <row r="300">
      <c r="A300" s="71" t="n"/>
      <c r="B300" s="8" t="n"/>
      <c r="C300" s="8" t="n"/>
      <c r="D300" s="14" t="n"/>
      <c r="E300" s="8" t="n"/>
      <c r="F300" s="8">
        <f>IF(A300&lt;&gt;"",TEXT(A300,"YYYY-MM"),"")</f>
        <v/>
      </c>
    </row>
    <row r="301">
      <c r="A301" s="71" t="n"/>
      <c r="B301" s="8" t="n"/>
      <c r="C301" s="8" t="n"/>
      <c r="D301" s="14" t="n"/>
      <c r="E301" s="8" t="n"/>
      <c r="F301" s="8">
        <f>IF(A301&lt;&gt;"",TEXT(A301,"YYYY-MM"),"")</f>
        <v/>
      </c>
    </row>
    <row r="302">
      <c r="A302" s="71" t="n"/>
      <c r="B302" s="8" t="n"/>
      <c r="C302" s="8" t="n"/>
      <c r="D302" s="14" t="n"/>
      <c r="E302" s="8" t="n"/>
      <c r="F302" s="8">
        <f>IF(A302&lt;&gt;"",TEXT(A302,"YYYY-MM"),"")</f>
        <v/>
      </c>
    </row>
    <row r="303">
      <c r="A303" s="71" t="n"/>
      <c r="B303" s="8" t="n"/>
      <c r="C303" s="8" t="n"/>
      <c r="D303" s="14" t="n"/>
      <c r="E303" s="8" t="n"/>
      <c r="F303" s="8">
        <f>IF(A303&lt;&gt;"",TEXT(A303,"YYYY-MM"),"")</f>
        <v/>
      </c>
    </row>
    <row r="304">
      <c r="A304" s="71" t="n"/>
      <c r="B304" s="8" t="n"/>
      <c r="C304" s="8" t="n"/>
      <c r="D304" s="14" t="n"/>
      <c r="E304" s="8" t="n"/>
      <c r="F304" s="8">
        <f>IF(A304&lt;&gt;"",TEXT(A304,"YYYY-MM"),"")</f>
        <v/>
      </c>
    </row>
    <row r="305">
      <c r="A305" s="71" t="n"/>
      <c r="B305" s="8" t="n"/>
      <c r="C305" s="8" t="n"/>
      <c r="D305" s="14" t="n"/>
      <c r="E305" s="8" t="n"/>
      <c r="F305" s="8">
        <f>IF(A305&lt;&gt;"",TEXT(A305,"YYYY-MM"),"")</f>
        <v/>
      </c>
    </row>
    <row r="306">
      <c r="A306" s="71" t="n"/>
      <c r="B306" s="8" t="n"/>
      <c r="C306" s="8" t="n"/>
      <c r="D306" s="14" t="n"/>
      <c r="E306" s="8" t="n"/>
      <c r="F306" s="8">
        <f>IF(A306&lt;&gt;"",TEXT(A306,"YYYY-MM"),"")</f>
        <v/>
      </c>
    </row>
    <row r="307">
      <c r="A307" s="71" t="n"/>
      <c r="B307" s="8" t="n"/>
      <c r="C307" s="8" t="n"/>
      <c r="D307" s="14" t="n"/>
      <c r="E307" s="8" t="n"/>
      <c r="F307" s="8">
        <f>IF(A307&lt;&gt;"",TEXT(A307,"YYYY-MM"),"")</f>
        <v/>
      </c>
    </row>
    <row r="308">
      <c r="A308" s="71" t="n"/>
      <c r="B308" s="8" t="n"/>
      <c r="C308" s="8" t="n"/>
      <c r="D308" s="14" t="n"/>
      <c r="E308" s="8" t="n"/>
      <c r="F308" s="8">
        <f>IF(A308&lt;&gt;"",TEXT(A308,"YYYY-MM"),"")</f>
        <v/>
      </c>
    </row>
    <row r="309">
      <c r="A309" s="71" t="n"/>
      <c r="B309" s="8" t="n"/>
      <c r="C309" s="8" t="n"/>
      <c r="D309" s="14" t="n"/>
      <c r="E309" s="8" t="n"/>
      <c r="F309" s="8">
        <f>IF(A309&lt;&gt;"",TEXT(A309,"YYYY-MM"),"")</f>
        <v/>
      </c>
    </row>
    <row r="310">
      <c r="A310" s="71" t="n"/>
      <c r="B310" s="8" t="n"/>
      <c r="C310" s="8" t="n"/>
      <c r="D310" s="14" t="n"/>
      <c r="E310" s="8" t="n"/>
      <c r="F310" s="8">
        <f>IF(A310&lt;&gt;"",TEXT(A310,"YYYY-MM"),"")</f>
        <v/>
      </c>
    </row>
    <row r="311">
      <c r="A311" s="71" t="n"/>
      <c r="B311" s="8" t="n"/>
      <c r="C311" s="8" t="n"/>
      <c r="D311" s="14" t="n"/>
      <c r="E311" s="8" t="n"/>
      <c r="F311" s="8">
        <f>IF(A311&lt;&gt;"",TEXT(A311,"YYYY-MM"),"")</f>
        <v/>
      </c>
    </row>
    <row r="312">
      <c r="A312" s="71" t="n"/>
      <c r="B312" s="8" t="n"/>
      <c r="C312" s="8" t="n"/>
      <c r="D312" s="14" t="n"/>
      <c r="E312" s="8" t="n"/>
      <c r="F312" s="8">
        <f>IF(A312&lt;&gt;"",TEXT(A312,"YYYY-MM"),"")</f>
        <v/>
      </c>
    </row>
    <row r="313">
      <c r="A313" s="71" t="n"/>
      <c r="B313" s="8" t="n"/>
      <c r="C313" s="8" t="n"/>
      <c r="D313" s="14" t="n"/>
      <c r="E313" s="8" t="n"/>
      <c r="F313" s="8">
        <f>IF(A313&lt;&gt;"",TEXT(A313,"YYYY-MM"),"")</f>
        <v/>
      </c>
    </row>
    <row r="314">
      <c r="A314" s="71" t="n"/>
      <c r="B314" s="8" t="n"/>
      <c r="C314" s="8" t="n"/>
      <c r="D314" s="14" t="n"/>
      <c r="E314" s="8" t="n"/>
      <c r="F314" s="8">
        <f>IF(A314&lt;&gt;"",TEXT(A314,"YYYY-MM"),"")</f>
        <v/>
      </c>
    </row>
    <row r="315">
      <c r="A315" s="71" t="n"/>
      <c r="B315" s="8" t="n"/>
      <c r="C315" s="8" t="n"/>
      <c r="D315" s="14" t="n"/>
      <c r="E315" s="8" t="n"/>
      <c r="F315" s="8">
        <f>IF(A315&lt;&gt;"",TEXT(A315,"YYYY-MM"),"")</f>
        <v/>
      </c>
    </row>
    <row r="316">
      <c r="A316" s="71" t="n"/>
      <c r="B316" s="8" t="n"/>
      <c r="C316" s="8" t="n"/>
      <c r="D316" s="14" t="n"/>
      <c r="E316" s="8" t="n"/>
      <c r="F316" s="8">
        <f>IF(A316&lt;&gt;"",TEXT(A316,"YYYY-MM"),"")</f>
        <v/>
      </c>
    </row>
    <row r="317">
      <c r="A317" s="71" t="n"/>
      <c r="B317" s="8" t="n"/>
      <c r="C317" s="8" t="n"/>
      <c r="D317" s="14" t="n"/>
      <c r="E317" s="8" t="n"/>
      <c r="F317" s="8">
        <f>IF(A317&lt;&gt;"",TEXT(A317,"YYYY-MM"),"")</f>
        <v/>
      </c>
    </row>
    <row r="318">
      <c r="A318" s="71" t="n"/>
      <c r="B318" s="8" t="n"/>
      <c r="C318" s="8" t="n"/>
      <c r="D318" s="14" t="n"/>
      <c r="E318" s="8" t="n"/>
      <c r="F318" s="8">
        <f>IF(A318&lt;&gt;"",TEXT(A318,"YYYY-MM"),"")</f>
        <v/>
      </c>
    </row>
    <row r="319">
      <c r="A319" s="71" t="n"/>
      <c r="B319" s="8" t="n"/>
      <c r="C319" s="8" t="n"/>
      <c r="D319" s="14" t="n"/>
      <c r="E319" s="8" t="n"/>
      <c r="F319" s="8">
        <f>IF(A319&lt;&gt;"",TEXT(A319,"YYYY-MM"),"")</f>
        <v/>
      </c>
    </row>
    <row r="320">
      <c r="A320" s="71" t="n"/>
      <c r="B320" s="8" t="n"/>
      <c r="C320" s="8" t="n"/>
      <c r="D320" s="14" t="n"/>
      <c r="E320" s="8" t="n"/>
      <c r="F320" s="8">
        <f>IF(A320&lt;&gt;"",TEXT(A320,"YYYY-MM"),"")</f>
        <v/>
      </c>
    </row>
    <row r="321">
      <c r="A321" s="71" t="n"/>
      <c r="B321" s="8" t="n"/>
      <c r="C321" s="8" t="n"/>
      <c r="D321" s="14" t="n"/>
      <c r="E321" s="8" t="n"/>
      <c r="F321" s="8">
        <f>IF(A321&lt;&gt;"",TEXT(A321,"YYYY-MM"),"")</f>
        <v/>
      </c>
    </row>
    <row r="322">
      <c r="A322" s="71" t="n"/>
      <c r="B322" s="8" t="n"/>
      <c r="C322" s="8" t="n"/>
      <c r="D322" s="14" t="n"/>
      <c r="E322" s="8" t="n"/>
      <c r="F322" s="8">
        <f>IF(A322&lt;&gt;"",TEXT(A322,"YYYY-MM"),"")</f>
        <v/>
      </c>
    </row>
    <row r="323">
      <c r="A323" s="71" t="n"/>
      <c r="B323" s="8" t="n"/>
      <c r="C323" s="8" t="n"/>
      <c r="D323" s="14" t="n"/>
      <c r="E323" s="8" t="n"/>
      <c r="F323" s="8">
        <f>IF(A323&lt;&gt;"",TEXT(A323,"YYYY-MM"),"")</f>
        <v/>
      </c>
    </row>
    <row r="324">
      <c r="A324" s="71" t="n"/>
      <c r="B324" s="8" t="n"/>
      <c r="C324" s="8" t="n"/>
      <c r="D324" s="14" t="n"/>
      <c r="E324" s="8" t="n"/>
      <c r="F324" s="8">
        <f>IF(A324&lt;&gt;"",TEXT(A324,"YYYY-MM"),"")</f>
        <v/>
      </c>
    </row>
    <row r="325">
      <c r="A325" s="71" t="n"/>
      <c r="B325" s="8" t="n"/>
      <c r="C325" s="8" t="n"/>
      <c r="D325" s="14" t="n"/>
      <c r="E325" s="8" t="n"/>
      <c r="F325" s="8">
        <f>IF(A325&lt;&gt;"",TEXT(A325,"YYYY-MM"),"")</f>
        <v/>
      </c>
    </row>
    <row r="326">
      <c r="A326" s="71" t="n"/>
      <c r="B326" s="8" t="n"/>
      <c r="C326" s="8" t="n"/>
      <c r="D326" s="14" t="n"/>
      <c r="E326" s="8" t="n"/>
      <c r="F326" s="8">
        <f>IF(A326&lt;&gt;"",TEXT(A326,"YYYY-MM"),"")</f>
        <v/>
      </c>
    </row>
    <row r="327">
      <c r="A327" s="71" t="n"/>
      <c r="B327" s="8" t="n"/>
      <c r="C327" s="8" t="n"/>
      <c r="D327" s="14" t="n"/>
      <c r="E327" s="8" t="n"/>
      <c r="F327" s="8">
        <f>IF(A327&lt;&gt;"",TEXT(A327,"YYYY-MM"),"")</f>
        <v/>
      </c>
    </row>
    <row r="328">
      <c r="A328" s="71" t="n"/>
      <c r="B328" s="8" t="n"/>
      <c r="C328" s="8" t="n"/>
      <c r="D328" s="14" t="n"/>
      <c r="E328" s="8" t="n"/>
      <c r="F328" s="8">
        <f>IF(A328&lt;&gt;"",TEXT(A328,"YYYY-MM"),"")</f>
        <v/>
      </c>
    </row>
    <row r="329">
      <c r="A329" s="71" t="n"/>
      <c r="B329" s="8" t="n"/>
      <c r="C329" s="8" t="n"/>
      <c r="D329" s="14" t="n"/>
      <c r="E329" s="8" t="n"/>
      <c r="F329" s="8">
        <f>IF(A329&lt;&gt;"",TEXT(A329,"YYYY-MM"),"")</f>
        <v/>
      </c>
    </row>
    <row r="330">
      <c r="A330" s="71" t="n"/>
      <c r="B330" s="8" t="n"/>
      <c r="C330" s="8" t="n"/>
      <c r="D330" s="14" t="n"/>
      <c r="E330" s="8" t="n"/>
      <c r="F330" s="8">
        <f>IF(A330&lt;&gt;"",TEXT(A330,"YYYY-MM"),"")</f>
        <v/>
      </c>
    </row>
    <row r="331">
      <c r="A331" s="71" t="n"/>
      <c r="B331" s="8" t="n"/>
      <c r="C331" s="8" t="n"/>
      <c r="D331" s="14" t="n"/>
      <c r="E331" s="8" t="n"/>
      <c r="F331" s="8">
        <f>IF(A331&lt;&gt;"",TEXT(A331,"YYYY-MM"),"")</f>
        <v/>
      </c>
    </row>
    <row r="332">
      <c r="A332" s="71" t="n"/>
      <c r="B332" s="8" t="n"/>
      <c r="C332" s="8" t="n"/>
      <c r="D332" s="14" t="n"/>
      <c r="E332" s="8" t="n"/>
      <c r="F332" s="8">
        <f>IF(A332&lt;&gt;"",TEXT(A332,"YYYY-MM"),"")</f>
        <v/>
      </c>
    </row>
    <row r="333">
      <c r="A333" s="71" t="n"/>
      <c r="B333" s="8" t="n"/>
      <c r="C333" s="8" t="n"/>
      <c r="D333" s="14" t="n"/>
      <c r="E333" s="8" t="n"/>
      <c r="F333" s="8">
        <f>IF(A333&lt;&gt;"",TEXT(A333,"YYYY-MM"),"")</f>
        <v/>
      </c>
    </row>
    <row r="334">
      <c r="A334" s="71" t="n"/>
      <c r="B334" s="8" t="n"/>
      <c r="C334" s="8" t="n"/>
      <c r="D334" s="14" t="n"/>
      <c r="E334" s="8" t="n"/>
      <c r="F334" s="8">
        <f>IF(A334&lt;&gt;"",TEXT(A334,"YYYY-MM"),"")</f>
        <v/>
      </c>
    </row>
    <row r="335">
      <c r="A335" s="71" t="n"/>
      <c r="B335" s="8" t="n"/>
      <c r="C335" s="8" t="n"/>
      <c r="D335" s="14" t="n"/>
      <c r="E335" s="8" t="n"/>
      <c r="F335" s="8">
        <f>IF(A335&lt;&gt;"",TEXT(A335,"YYYY-MM"),"")</f>
        <v/>
      </c>
    </row>
    <row r="336">
      <c r="A336" s="71" t="n"/>
      <c r="B336" s="8" t="n"/>
      <c r="C336" s="8" t="n"/>
      <c r="D336" s="14" t="n"/>
      <c r="E336" s="8" t="n"/>
      <c r="F336" s="8">
        <f>IF(A336&lt;&gt;"",TEXT(A336,"YYYY-MM"),"")</f>
        <v/>
      </c>
    </row>
    <row r="337">
      <c r="A337" s="71" t="n"/>
      <c r="B337" s="8" t="n"/>
      <c r="C337" s="8" t="n"/>
      <c r="D337" s="14" t="n"/>
      <c r="E337" s="8" t="n"/>
      <c r="F337" s="8">
        <f>IF(A337&lt;&gt;"",TEXT(A337,"YYYY-MM"),"")</f>
        <v/>
      </c>
    </row>
    <row r="338">
      <c r="A338" s="71" t="n"/>
      <c r="B338" s="8" t="n"/>
      <c r="C338" s="8" t="n"/>
      <c r="D338" s="14" t="n"/>
      <c r="E338" s="8" t="n"/>
      <c r="F338" s="8">
        <f>IF(A338&lt;&gt;"",TEXT(A338,"YYYY-MM"),"")</f>
        <v/>
      </c>
    </row>
    <row r="339">
      <c r="A339" s="71" t="n"/>
      <c r="B339" s="8" t="n"/>
      <c r="C339" s="8" t="n"/>
      <c r="D339" s="14" t="n"/>
      <c r="E339" s="8" t="n"/>
      <c r="F339" s="8">
        <f>IF(A339&lt;&gt;"",TEXT(A339,"YYYY-MM"),"")</f>
        <v/>
      </c>
    </row>
    <row r="340">
      <c r="A340" s="71" t="n"/>
      <c r="B340" s="8" t="n"/>
      <c r="C340" s="8" t="n"/>
      <c r="D340" s="14" t="n"/>
      <c r="E340" s="8" t="n"/>
      <c r="F340" s="8">
        <f>IF(A340&lt;&gt;"",TEXT(A340,"YYYY-MM"),"")</f>
        <v/>
      </c>
    </row>
    <row r="341">
      <c r="A341" s="71" t="n"/>
      <c r="B341" s="8" t="n"/>
      <c r="C341" s="8" t="n"/>
      <c r="D341" s="14" t="n"/>
      <c r="E341" s="8" t="n"/>
      <c r="F341" s="8">
        <f>IF(A341&lt;&gt;"",TEXT(A341,"YYYY-MM"),"")</f>
        <v/>
      </c>
    </row>
    <row r="342">
      <c r="A342" s="71" t="n"/>
      <c r="B342" s="8" t="n"/>
      <c r="C342" s="8" t="n"/>
      <c r="D342" s="14" t="n"/>
      <c r="E342" s="8" t="n"/>
      <c r="F342" s="8">
        <f>IF(A342&lt;&gt;"",TEXT(A342,"YYYY-MM"),"")</f>
        <v/>
      </c>
    </row>
    <row r="343">
      <c r="A343" s="71" t="n"/>
      <c r="B343" s="8" t="n"/>
      <c r="C343" s="8" t="n"/>
      <c r="D343" s="14" t="n"/>
      <c r="E343" s="8" t="n"/>
      <c r="F343" s="8">
        <f>IF(A343&lt;&gt;"",TEXT(A343,"YYYY-MM"),"")</f>
        <v/>
      </c>
    </row>
    <row r="344">
      <c r="A344" s="71" t="n"/>
      <c r="B344" s="8" t="n"/>
      <c r="C344" s="8" t="n"/>
      <c r="D344" s="14" t="n"/>
      <c r="E344" s="8" t="n"/>
      <c r="F344" s="8">
        <f>IF(A344&lt;&gt;"",TEXT(A344,"YYYY-MM"),"")</f>
        <v/>
      </c>
    </row>
    <row r="345">
      <c r="A345" s="71" t="n"/>
      <c r="B345" s="8" t="n"/>
      <c r="C345" s="8" t="n"/>
      <c r="D345" s="14" t="n"/>
      <c r="E345" s="8" t="n"/>
      <c r="F345" s="8">
        <f>IF(A345&lt;&gt;"",TEXT(A345,"YYYY-MM"),"")</f>
        <v/>
      </c>
    </row>
    <row r="346">
      <c r="A346" s="71" t="n"/>
      <c r="B346" s="8" t="n"/>
      <c r="C346" s="8" t="n"/>
      <c r="D346" s="14" t="n"/>
      <c r="E346" s="8" t="n"/>
      <c r="F346" s="8">
        <f>IF(A346&lt;&gt;"",TEXT(A346,"YYYY-MM"),"")</f>
        <v/>
      </c>
    </row>
    <row r="347">
      <c r="A347" s="71" t="n"/>
      <c r="B347" s="8" t="n"/>
      <c r="C347" s="8" t="n"/>
      <c r="D347" s="14" t="n"/>
      <c r="E347" s="8" t="n"/>
      <c r="F347" s="8">
        <f>IF(A347&lt;&gt;"",TEXT(A347,"YYYY-MM"),"")</f>
        <v/>
      </c>
    </row>
    <row r="348">
      <c r="A348" s="71" t="n"/>
      <c r="B348" s="8" t="n"/>
      <c r="C348" s="8" t="n"/>
      <c r="D348" s="14" t="n"/>
      <c r="E348" s="8" t="n"/>
      <c r="F348" s="8">
        <f>IF(A348&lt;&gt;"",TEXT(A348,"YYYY-MM"),"")</f>
        <v/>
      </c>
    </row>
    <row r="349">
      <c r="A349" s="71" t="n"/>
      <c r="B349" s="8" t="n"/>
      <c r="C349" s="8" t="n"/>
      <c r="D349" s="14" t="n"/>
      <c r="E349" s="8" t="n"/>
      <c r="F349" s="8">
        <f>IF(A349&lt;&gt;"",TEXT(A349,"YYYY-MM"),"")</f>
        <v/>
      </c>
    </row>
    <row r="350">
      <c r="A350" s="71" t="n"/>
      <c r="B350" s="8" t="n"/>
      <c r="C350" s="8" t="n"/>
      <c r="D350" s="14" t="n"/>
      <c r="E350" s="8" t="n"/>
      <c r="F350" s="8">
        <f>IF(A350&lt;&gt;"",TEXT(A350,"YYYY-MM"),"")</f>
        <v/>
      </c>
    </row>
    <row r="351">
      <c r="A351" s="71" t="n"/>
      <c r="B351" s="8" t="n"/>
      <c r="C351" s="8" t="n"/>
      <c r="D351" s="14" t="n"/>
      <c r="E351" s="8" t="n"/>
      <c r="F351" s="8">
        <f>IF(A351&lt;&gt;"",TEXT(A351,"YYYY-MM"),"")</f>
        <v/>
      </c>
    </row>
    <row r="352">
      <c r="A352" s="71" t="n"/>
      <c r="B352" s="8" t="n"/>
      <c r="C352" s="8" t="n"/>
      <c r="D352" s="14" t="n"/>
      <c r="E352" s="8" t="n"/>
      <c r="F352" s="8">
        <f>IF(A352&lt;&gt;"",TEXT(A352,"YYYY-MM"),"")</f>
        <v/>
      </c>
    </row>
    <row r="353">
      <c r="A353" s="71" t="n"/>
      <c r="B353" s="8" t="n"/>
      <c r="C353" s="8" t="n"/>
      <c r="D353" s="14" t="n"/>
      <c r="E353" s="8" t="n"/>
      <c r="F353" s="8">
        <f>IF(A353&lt;&gt;"",TEXT(A353,"YYYY-MM"),"")</f>
        <v/>
      </c>
    </row>
    <row r="354">
      <c r="A354" s="71" t="n"/>
      <c r="B354" s="8" t="n"/>
      <c r="C354" s="8" t="n"/>
      <c r="D354" s="14" t="n"/>
      <c r="E354" s="8" t="n"/>
      <c r="F354" s="8">
        <f>IF(A354&lt;&gt;"",TEXT(A354,"YYYY-MM"),"")</f>
        <v/>
      </c>
    </row>
    <row r="355">
      <c r="A355" s="71" t="n"/>
      <c r="B355" s="8" t="n"/>
      <c r="C355" s="8" t="n"/>
      <c r="D355" s="14" t="n"/>
      <c r="E355" s="8" t="n"/>
      <c r="F355" s="8">
        <f>IF(A355&lt;&gt;"",TEXT(A355,"YYYY-MM"),"")</f>
        <v/>
      </c>
    </row>
    <row r="356">
      <c r="A356" s="71" t="n"/>
      <c r="B356" s="8" t="n"/>
      <c r="C356" s="8" t="n"/>
      <c r="D356" s="14" t="n"/>
      <c r="E356" s="8" t="n"/>
      <c r="F356" s="8">
        <f>IF(A356&lt;&gt;"",TEXT(A356,"YYYY-MM"),"")</f>
        <v/>
      </c>
    </row>
    <row r="357">
      <c r="A357" s="71" t="n"/>
      <c r="B357" s="8" t="n"/>
      <c r="C357" s="8" t="n"/>
      <c r="D357" s="14" t="n"/>
      <c r="E357" s="8" t="n"/>
      <c r="F357" s="8">
        <f>IF(A357&lt;&gt;"",TEXT(A357,"YYYY-MM"),"")</f>
        <v/>
      </c>
    </row>
    <row r="358">
      <c r="A358" s="71" t="n"/>
      <c r="B358" s="8" t="n"/>
      <c r="C358" s="8" t="n"/>
      <c r="D358" s="14" t="n"/>
      <c r="E358" s="8" t="n"/>
      <c r="F358" s="8">
        <f>IF(A358&lt;&gt;"",TEXT(A358,"YYYY-MM"),"")</f>
        <v/>
      </c>
    </row>
    <row r="359">
      <c r="A359" s="71" t="n"/>
      <c r="B359" s="8" t="n"/>
      <c r="C359" s="8" t="n"/>
      <c r="D359" s="14" t="n"/>
      <c r="E359" s="8" t="n"/>
      <c r="F359" s="8">
        <f>IF(A359&lt;&gt;"",TEXT(A359,"YYYY-MM"),"")</f>
        <v/>
      </c>
    </row>
    <row r="360">
      <c r="A360" s="71" t="n"/>
      <c r="B360" s="8" t="n"/>
      <c r="C360" s="8" t="n"/>
      <c r="D360" s="14" t="n"/>
      <c r="E360" s="8" t="n"/>
      <c r="F360" s="8">
        <f>IF(A360&lt;&gt;"",TEXT(A360,"YYYY-MM"),"")</f>
        <v/>
      </c>
    </row>
    <row r="361">
      <c r="A361" s="71" t="n"/>
      <c r="B361" s="8" t="n"/>
      <c r="C361" s="8" t="n"/>
      <c r="D361" s="14" t="n"/>
      <c r="E361" s="8" t="n"/>
      <c r="F361" s="8">
        <f>IF(A361&lt;&gt;"",TEXT(A361,"YYYY-MM"),"")</f>
        <v/>
      </c>
    </row>
    <row r="362">
      <c r="A362" s="71" t="n"/>
      <c r="B362" s="8" t="n"/>
      <c r="C362" s="8" t="n"/>
      <c r="D362" s="14" t="n"/>
      <c r="E362" s="8" t="n"/>
      <c r="F362" s="8">
        <f>IF(A362&lt;&gt;"",TEXT(A362,"YYYY-MM"),"")</f>
        <v/>
      </c>
    </row>
    <row r="363">
      <c r="A363" s="71" t="n"/>
      <c r="B363" s="8" t="n"/>
      <c r="C363" s="8" t="n"/>
      <c r="D363" s="14" t="n"/>
      <c r="E363" s="8" t="n"/>
      <c r="F363" s="8">
        <f>IF(A363&lt;&gt;"",TEXT(A363,"YYYY-MM"),"")</f>
        <v/>
      </c>
    </row>
    <row r="364">
      <c r="A364" s="71" t="n"/>
      <c r="B364" s="8" t="n"/>
      <c r="C364" s="8" t="n"/>
      <c r="D364" s="14" t="n"/>
      <c r="E364" s="8" t="n"/>
      <c r="F364" s="8">
        <f>IF(A364&lt;&gt;"",TEXT(A364,"YYYY-MM"),"")</f>
        <v/>
      </c>
    </row>
    <row r="365">
      <c r="A365" s="71" t="n"/>
      <c r="B365" s="8" t="n"/>
      <c r="C365" s="8" t="n"/>
      <c r="D365" s="14" t="n"/>
      <c r="E365" s="8" t="n"/>
      <c r="F365" s="8">
        <f>IF(A365&lt;&gt;"",TEXT(A365,"YYYY-MM"),"")</f>
        <v/>
      </c>
    </row>
    <row r="366">
      <c r="A366" s="71" t="n"/>
      <c r="B366" s="8" t="n"/>
      <c r="C366" s="8" t="n"/>
      <c r="D366" s="14" t="n"/>
      <c r="E366" s="8" t="n"/>
      <c r="F366" s="8">
        <f>IF(A366&lt;&gt;"",TEXT(A366,"YYYY-MM"),"")</f>
        <v/>
      </c>
    </row>
    <row r="367">
      <c r="A367" s="71" t="n"/>
      <c r="B367" s="8" t="n"/>
      <c r="C367" s="8" t="n"/>
      <c r="D367" s="14" t="n"/>
      <c r="E367" s="8" t="n"/>
      <c r="F367" s="8">
        <f>IF(A367&lt;&gt;"",TEXT(A367,"YYYY-MM"),"")</f>
        <v/>
      </c>
    </row>
    <row r="368">
      <c r="A368" s="71" t="n"/>
      <c r="B368" s="8" t="n"/>
      <c r="C368" s="8" t="n"/>
      <c r="D368" s="14" t="n"/>
      <c r="E368" s="8" t="n"/>
      <c r="F368" s="8">
        <f>IF(A368&lt;&gt;"",TEXT(A368,"YYYY-MM"),"")</f>
        <v/>
      </c>
    </row>
    <row r="369">
      <c r="A369" s="71" t="n"/>
      <c r="B369" s="8" t="n"/>
      <c r="C369" s="8" t="n"/>
      <c r="D369" s="14" t="n"/>
      <c r="E369" s="8" t="n"/>
      <c r="F369" s="8">
        <f>IF(A369&lt;&gt;"",TEXT(A369,"YYYY-MM"),"")</f>
        <v/>
      </c>
    </row>
    <row r="370">
      <c r="A370" s="71" t="n"/>
      <c r="B370" s="8" t="n"/>
      <c r="C370" s="8" t="n"/>
      <c r="D370" s="14" t="n"/>
      <c r="E370" s="8" t="n"/>
      <c r="F370" s="8">
        <f>IF(A370&lt;&gt;"",TEXT(A370,"YYYY-MM"),"")</f>
        <v/>
      </c>
    </row>
    <row r="371">
      <c r="A371" s="71" t="n"/>
      <c r="B371" s="8" t="n"/>
      <c r="C371" s="8" t="n"/>
      <c r="D371" s="14" t="n"/>
      <c r="E371" s="8" t="n"/>
      <c r="F371" s="8">
        <f>IF(A371&lt;&gt;"",TEXT(A371,"YYYY-MM"),"")</f>
        <v/>
      </c>
    </row>
    <row r="372">
      <c r="A372" s="71" t="n"/>
      <c r="B372" s="8" t="n"/>
      <c r="C372" s="8" t="n"/>
      <c r="D372" s="14" t="n"/>
      <c r="E372" s="8" t="n"/>
      <c r="F372" s="8">
        <f>IF(A372&lt;&gt;"",TEXT(A372,"YYYY-MM"),"")</f>
        <v/>
      </c>
    </row>
    <row r="373">
      <c r="A373" s="71" t="n"/>
      <c r="B373" s="8" t="n"/>
      <c r="C373" s="8" t="n"/>
      <c r="D373" s="14" t="n"/>
      <c r="E373" s="8" t="n"/>
      <c r="F373" s="8">
        <f>IF(A373&lt;&gt;"",TEXT(A373,"YYYY-MM"),"")</f>
        <v/>
      </c>
    </row>
    <row r="374">
      <c r="A374" s="71" t="n"/>
      <c r="B374" s="8" t="n"/>
      <c r="C374" s="8" t="n"/>
      <c r="D374" s="14" t="n"/>
      <c r="E374" s="8" t="n"/>
      <c r="F374" s="8">
        <f>IF(A374&lt;&gt;"",TEXT(A374,"YYYY-MM"),"")</f>
        <v/>
      </c>
    </row>
    <row r="375">
      <c r="A375" s="71" t="n"/>
      <c r="B375" s="8" t="n"/>
      <c r="C375" s="8" t="n"/>
      <c r="D375" s="14" t="n"/>
      <c r="E375" s="8" t="n"/>
      <c r="F375" s="8">
        <f>IF(A375&lt;&gt;"",TEXT(A375,"YYYY-MM"),"")</f>
        <v/>
      </c>
    </row>
    <row r="376">
      <c r="A376" s="71" t="n"/>
      <c r="B376" s="8" t="n"/>
      <c r="C376" s="8" t="n"/>
      <c r="D376" s="14" t="n"/>
      <c r="E376" s="8" t="n"/>
      <c r="F376" s="8">
        <f>IF(A376&lt;&gt;"",TEXT(A376,"YYYY-MM"),"")</f>
        <v/>
      </c>
    </row>
    <row r="377">
      <c r="A377" s="71" t="n"/>
      <c r="B377" s="8" t="n"/>
      <c r="C377" s="8" t="n"/>
      <c r="D377" s="14" t="n"/>
      <c r="E377" s="8" t="n"/>
      <c r="F377" s="8">
        <f>IF(A377&lt;&gt;"",TEXT(A377,"YYYY-MM"),"")</f>
        <v/>
      </c>
    </row>
    <row r="378">
      <c r="A378" s="71" t="n"/>
      <c r="B378" s="8" t="n"/>
      <c r="C378" s="8" t="n"/>
      <c r="D378" s="14" t="n"/>
      <c r="E378" s="8" t="n"/>
      <c r="F378" s="8">
        <f>IF(A378&lt;&gt;"",TEXT(A378,"YYYY-MM"),"")</f>
        <v/>
      </c>
    </row>
    <row r="379">
      <c r="A379" s="71" t="n"/>
      <c r="B379" s="8" t="n"/>
      <c r="C379" s="8" t="n"/>
      <c r="D379" s="14" t="n"/>
      <c r="E379" s="8" t="n"/>
      <c r="F379" s="8">
        <f>IF(A379&lt;&gt;"",TEXT(A379,"YYYY-MM"),"")</f>
        <v/>
      </c>
    </row>
    <row r="380">
      <c r="A380" s="71" t="n"/>
      <c r="B380" s="8" t="n"/>
      <c r="C380" s="8" t="n"/>
      <c r="D380" s="14" t="n"/>
      <c r="E380" s="8" t="n"/>
      <c r="F380" s="8">
        <f>IF(A380&lt;&gt;"",TEXT(A380,"YYYY-MM"),"")</f>
        <v/>
      </c>
    </row>
    <row r="381">
      <c r="A381" s="71" t="n"/>
      <c r="B381" s="8" t="n"/>
      <c r="C381" s="8" t="n"/>
      <c r="D381" s="14" t="n"/>
      <c r="E381" s="8" t="n"/>
      <c r="F381" s="8">
        <f>IF(A381&lt;&gt;"",TEXT(A381,"YYYY-MM"),"")</f>
        <v/>
      </c>
    </row>
    <row r="382">
      <c r="A382" s="71" t="n"/>
      <c r="B382" s="8" t="n"/>
      <c r="C382" s="8" t="n"/>
      <c r="D382" s="14" t="n"/>
      <c r="E382" s="8" t="n"/>
      <c r="F382" s="8">
        <f>IF(A382&lt;&gt;"",TEXT(A382,"YYYY-MM"),"")</f>
        <v/>
      </c>
    </row>
    <row r="383">
      <c r="A383" s="71" t="n"/>
      <c r="B383" s="8" t="n"/>
      <c r="C383" s="8" t="n"/>
      <c r="D383" s="14" t="n"/>
      <c r="E383" s="8" t="n"/>
      <c r="F383" s="8">
        <f>IF(A383&lt;&gt;"",TEXT(A383,"YYYY-MM"),"")</f>
        <v/>
      </c>
    </row>
    <row r="384">
      <c r="A384" s="71" t="n"/>
      <c r="B384" s="8" t="n"/>
      <c r="C384" s="8" t="n"/>
      <c r="D384" s="14" t="n"/>
      <c r="E384" s="8" t="n"/>
      <c r="F384" s="8">
        <f>IF(A384&lt;&gt;"",TEXT(A384,"YYYY-MM"),"")</f>
        <v/>
      </c>
    </row>
    <row r="385">
      <c r="A385" s="71" t="n"/>
      <c r="B385" s="8" t="n"/>
      <c r="C385" s="8" t="n"/>
      <c r="D385" s="14" t="n"/>
      <c r="E385" s="8" t="n"/>
      <c r="F385" s="8">
        <f>IF(A385&lt;&gt;"",TEXT(A385,"YYYY-MM"),"")</f>
        <v/>
      </c>
    </row>
    <row r="386">
      <c r="A386" s="71" t="n"/>
      <c r="B386" s="8" t="n"/>
      <c r="C386" s="8" t="n"/>
      <c r="D386" s="14" t="n"/>
      <c r="E386" s="8" t="n"/>
      <c r="F386" s="8">
        <f>IF(A386&lt;&gt;"",TEXT(A386,"YYYY-MM"),"")</f>
        <v/>
      </c>
    </row>
    <row r="387">
      <c r="A387" s="71" t="n"/>
      <c r="B387" s="8" t="n"/>
      <c r="C387" s="8" t="n"/>
      <c r="D387" s="14" t="n"/>
      <c r="E387" s="8" t="n"/>
      <c r="F387" s="8">
        <f>IF(A387&lt;&gt;"",TEXT(A387,"YYYY-MM"),"")</f>
        <v/>
      </c>
    </row>
    <row r="388">
      <c r="A388" s="71" t="n"/>
      <c r="B388" s="8" t="n"/>
      <c r="C388" s="8" t="n"/>
      <c r="D388" s="14" t="n"/>
      <c r="E388" s="8" t="n"/>
      <c r="F388" s="8">
        <f>IF(A388&lt;&gt;"",TEXT(A388,"YYYY-MM"),"")</f>
        <v/>
      </c>
    </row>
    <row r="389">
      <c r="A389" s="71" t="n"/>
      <c r="B389" s="8" t="n"/>
      <c r="C389" s="8" t="n"/>
      <c r="D389" s="14" t="n"/>
      <c r="E389" s="8" t="n"/>
      <c r="F389" s="8">
        <f>IF(A389&lt;&gt;"",TEXT(A389,"YYYY-MM"),"")</f>
        <v/>
      </c>
    </row>
    <row r="390">
      <c r="A390" s="71" t="n"/>
      <c r="B390" s="8" t="n"/>
      <c r="C390" s="8" t="n"/>
      <c r="D390" s="14" t="n"/>
      <c r="E390" s="8" t="n"/>
      <c r="F390" s="8">
        <f>IF(A390&lt;&gt;"",TEXT(A390,"YYYY-MM"),"")</f>
        <v/>
      </c>
    </row>
    <row r="391">
      <c r="A391" s="71" t="n"/>
      <c r="B391" s="8" t="n"/>
      <c r="C391" s="8" t="n"/>
      <c r="D391" s="14" t="n"/>
      <c r="E391" s="8" t="n"/>
      <c r="F391" s="8">
        <f>IF(A391&lt;&gt;"",TEXT(A391,"YYYY-MM"),"")</f>
        <v/>
      </c>
    </row>
    <row r="392">
      <c r="A392" s="71" t="n"/>
      <c r="B392" s="8" t="n"/>
      <c r="C392" s="8" t="n"/>
      <c r="D392" s="14" t="n"/>
      <c r="E392" s="8" t="n"/>
      <c r="F392" s="8">
        <f>IF(A392&lt;&gt;"",TEXT(A392,"YYYY-MM"),"")</f>
        <v/>
      </c>
    </row>
    <row r="393">
      <c r="A393" s="71" t="n"/>
      <c r="B393" s="8" t="n"/>
      <c r="C393" s="8" t="n"/>
      <c r="D393" s="14" t="n"/>
      <c r="E393" s="8" t="n"/>
      <c r="F393" s="8">
        <f>IF(A393&lt;&gt;"",TEXT(A393,"YYYY-MM"),"")</f>
        <v/>
      </c>
    </row>
    <row r="394">
      <c r="A394" s="71" t="n"/>
      <c r="B394" s="8" t="n"/>
      <c r="C394" s="8" t="n"/>
      <c r="D394" s="14" t="n"/>
      <c r="E394" s="8" t="n"/>
      <c r="F394" s="8">
        <f>IF(A394&lt;&gt;"",TEXT(A394,"YYYY-MM"),"")</f>
        <v/>
      </c>
    </row>
    <row r="395">
      <c r="A395" s="71" t="n"/>
      <c r="B395" s="8" t="n"/>
      <c r="C395" s="8" t="n"/>
      <c r="D395" s="14" t="n"/>
      <c r="E395" s="8" t="n"/>
      <c r="F395" s="8">
        <f>IF(A395&lt;&gt;"",TEXT(A395,"YYYY-MM"),"")</f>
        <v/>
      </c>
    </row>
    <row r="396">
      <c r="A396" s="71" t="n"/>
      <c r="B396" s="8" t="n"/>
      <c r="C396" s="8" t="n"/>
      <c r="D396" s="14" t="n"/>
      <c r="E396" s="8" t="n"/>
      <c r="F396" s="8">
        <f>IF(A396&lt;&gt;"",TEXT(A396,"YYYY-MM"),"")</f>
        <v/>
      </c>
    </row>
    <row r="397">
      <c r="A397" s="71" t="n"/>
      <c r="B397" s="8" t="n"/>
      <c r="C397" s="8" t="n"/>
      <c r="D397" s="14" t="n"/>
      <c r="E397" s="8" t="n"/>
      <c r="F397" s="8">
        <f>IF(A397&lt;&gt;"",TEXT(A397,"YYYY-MM"),"")</f>
        <v/>
      </c>
    </row>
    <row r="398">
      <c r="A398" s="71" t="n"/>
      <c r="B398" s="8" t="n"/>
      <c r="C398" s="8" t="n"/>
      <c r="D398" s="14" t="n"/>
      <c r="E398" s="8" t="n"/>
      <c r="F398" s="8">
        <f>IF(A398&lt;&gt;"",TEXT(A398,"YYYY-MM"),"")</f>
        <v/>
      </c>
    </row>
    <row r="399">
      <c r="A399" s="71" t="n"/>
      <c r="B399" s="8" t="n"/>
      <c r="C399" s="8" t="n"/>
      <c r="D399" s="14" t="n"/>
      <c r="E399" s="8" t="n"/>
      <c r="F399" s="8">
        <f>IF(A399&lt;&gt;"",TEXT(A399,"YYYY-MM"),"")</f>
        <v/>
      </c>
    </row>
    <row r="400">
      <c r="A400" s="71" t="n"/>
      <c r="B400" s="8" t="n"/>
      <c r="C400" s="8" t="n"/>
      <c r="D400" s="14" t="n"/>
      <c r="E400" s="8" t="n"/>
      <c r="F400" s="8">
        <f>IF(A400&lt;&gt;"",TEXT(A400,"YYYY-MM"),"")</f>
        <v/>
      </c>
    </row>
    <row r="401">
      <c r="A401" s="71" t="n"/>
      <c r="B401" s="8" t="n"/>
      <c r="C401" s="8" t="n"/>
      <c r="D401" s="14" t="n"/>
      <c r="E401" s="8" t="n"/>
      <c r="F401" s="8">
        <f>IF(A401&lt;&gt;"",TEXT(A401,"YYYY-MM"),"")</f>
        <v/>
      </c>
    </row>
    <row r="402">
      <c r="A402" s="71" t="n"/>
      <c r="B402" s="8" t="n"/>
      <c r="C402" s="8" t="n"/>
      <c r="D402" s="14" t="n"/>
      <c r="E402" s="8" t="n"/>
      <c r="F402" s="8">
        <f>IF(A402&lt;&gt;"",TEXT(A402,"YYYY-MM"),"")</f>
        <v/>
      </c>
    </row>
    <row r="403">
      <c r="A403" s="71" t="n"/>
      <c r="B403" s="8" t="n"/>
      <c r="C403" s="8" t="n"/>
      <c r="D403" s="14" t="n"/>
      <c r="E403" s="8" t="n"/>
      <c r="F403" s="8">
        <f>IF(A403&lt;&gt;"",TEXT(A403,"YYYY-MM"),"")</f>
        <v/>
      </c>
    </row>
    <row r="404">
      <c r="A404" s="71" t="n"/>
      <c r="B404" s="8" t="n"/>
      <c r="C404" s="8" t="n"/>
      <c r="D404" s="14" t="n"/>
      <c r="E404" s="8" t="n"/>
      <c r="F404" s="8">
        <f>IF(A404&lt;&gt;"",TEXT(A404,"YYYY-MM"),"")</f>
        <v/>
      </c>
    </row>
    <row r="405">
      <c r="A405" s="71" t="n"/>
      <c r="B405" s="8" t="n"/>
      <c r="C405" s="8" t="n"/>
      <c r="D405" s="14" t="n"/>
      <c r="E405" s="8" t="n"/>
      <c r="F405" s="8">
        <f>IF(A405&lt;&gt;"",TEXT(A405,"YYYY-MM"),"")</f>
        <v/>
      </c>
    </row>
    <row r="406">
      <c r="A406" s="71" t="n"/>
      <c r="B406" s="8" t="n"/>
      <c r="C406" s="8" t="n"/>
      <c r="D406" s="14" t="n"/>
      <c r="E406" s="8" t="n"/>
      <c r="F406" s="8">
        <f>IF(A406&lt;&gt;"",TEXT(A406,"YYYY-MM"),"")</f>
        <v/>
      </c>
    </row>
    <row r="407">
      <c r="A407" s="71" t="n"/>
      <c r="B407" s="8" t="n"/>
      <c r="C407" s="8" t="n"/>
      <c r="D407" s="14" t="n"/>
      <c r="E407" s="8" t="n"/>
      <c r="F407" s="8">
        <f>IF(A407&lt;&gt;"",TEXT(A407,"YYYY-MM"),"")</f>
        <v/>
      </c>
    </row>
    <row r="408">
      <c r="A408" s="71" t="n"/>
      <c r="B408" s="8" t="n"/>
      <c r="C408" s="8" t="n"/>
      <c r="D408" s="14" t="n"/>
      <c r="E408" s="8" t="n"/>
      <c r="F408" s="8">
        <f>IF(A408&lt;&gt;"",TEXT(A408,"YYYY-MM"),"")</f>
        <v/>
      </c>
    </row>
    <row r="409">
      <c r="A409" s="71" t="n"/>
      <c r="B409" s="8" t="n"/>
      <c r="C409" s="8" t="n"/>
      <c r="D409" s="14" t="n"/>
      <c r="E409" s="8" t="n"/>
      <c r="F409" s="8">
        <f>IF(A409&lt;&gt;"",TEXT(A409,"YYYY-MM"),"")</f>
        <v/>
      </c>
    </row>
    <row r="410">
      <c r="A410" s="71" t="n"/>
      <c r="B410" s="8" t="n"/>
      <c r="C410" s="8" t="n"/>
      <c r="D410" s="14" t="n"/>
      <c r="E410" s="8" t="n"/>
      <c r="F410" s="8">
        <f>IF(A410&lt;&gt;"",TEXT(A410,"YYYY-MM"),"")</f>
        <v/>
      </c>
    </row>
    <row r="411">
      <c r="A411" s="71" t="n"/>
      <c r="B411" s="8" t="n"/>
      <c r="C411" s="8" t="n"/>
      <c r="D411" s="14" t="n"/>
      <c r="E411" s="8" t="n"/>
      <c r="F411" s="8">
        <f>IF(A411&lt;&gt;"",TEXT(A411,"YYYY-MM"),"")</f>
        <v/>
      </c>
    </row>
    <row r="412">
      <c r="A412" s="71" t="n"/>
      <c r="B412" s="8" t="n"/>
      <c r="C412" s="8" t="n"/>
      <c r="D412" s="14" t="n"/>
      <c r="E412" s="8" t="n"/>
      <c r="F412" s="8">
        <f>IF(A412&lt;&gt;"",TEXT(A412,"YYYY-MM"),"")</f>
        <v/>
      </c>
    </row>
    <row r="413">
      <c r="A413" s="71" t="n"/>
      <c r="B413" s="8" t="n"/>
      <c r="C413" s="8" t="n"/>
      <c r="D413" s="14" t="n"/>
      <c r="E413" s="8" t="n"/>
      <c r="F413" s="8">
        <f>IF(A413&lt;&gt;"",TEXT(A413,"YYYY-MM"),"")</f>
        <v/>
      </c>
    </row>
    <row r="414">
      <c r="A414" s="71" t="n"/>
      <c r="B414" s="8" t="n"/>
      <c r="C414" s="8" t="n"/>
      <c r="D414" s="14" t="n"/>
      <c r="E414" s="8" t="n"/>
      <c r="F414" s="8">
        <f>IF(A414&lt;&gt;"",TEXT(A414,"YYYY-MM"),"")</f>
        <v/>
      </c>
    </row>
    <row r="415">
      <c r="A415" s="71" t="n"/>
      <c r="B415" s="8" t="n"/>
      <c r="C415" s="8" t="n"/>
      <c r="D415" s="14" t="n"/>
      <c r="E415" s="8" t="n"/>
      <c r="F415" s="8">
        <f>IF(A415&lt;&gt;"",TEXT(A415,"YYYY-MM"),"")</f>
        <v/>
      </c>
    </row>
    <row r="416">
      <c r="A416" s="71" t="n"/>
      <c r="B416" s="8" t="n"/>
      <c r="C416" s="8" t="n"/>
      <c r="D416" s="14" t="n"/>
      <c r="E416" s="8" t="n"/>
      <c r="F416" s="8">
        <f>IF(A416&lt;&gt;"",TEXT(A416,"YYYY-MM"),"")</f>
        <v/>
      </c>
    </row>
    <row r="417">
      <c r="A417" s="71" t="n"/>
      <c r="B417" s="8" t="n"/>
      <c r="C417" s="8" t="n"/>
      <c r="D417" s="14" t="n"/>
      <c r="E417" s="8" t="n"/>
      <c r="F417" s="8">
        <f>IF(A417&lt;&gt;"",TEXT(A417,"YYYY-MM"),"")</f>
        <v/>
      </c>
    </row>
    <row r="418">
      <c r="A418" s="71" t="n"/>
      <c r="B418" s="8" t="n"/>
      <c r="C418" s="8" t="n"/>
      <c r="D418" s="14" t="n"/>
      <c r="E418" s="8" t="n"/>
      <c r="F418" s="8">
        <f>IF(A418&lt;&gt;"",TEXT(A418,"YYYY-MM"),"")</f>
        <v/>
      </c>
    </row>
    <row r="419">
      <c r="A419" s="71" t="n"/>
      <c r="B419" s="8" t="n"/>
      <c r="C419" s="8" t="n"/>
      <c r="D419" s="14" t="n"/>
      <c r="E419" s="8" t="n"/>
      <c r="F419" s="8">
        <f>IF(A419&lt;&gt;"",TEXT(A419,"YYYY-MM"),"")</f>
        <v/>
      </c>
    </row>
    <row r="420">
      <c r="A420" s="71" t="n"/>
      <c r="B420" s="8" t="n"/>
      <c r="C420" s="8" t="n"/>
      <c r="D420" s="14" t="n"/>
      <c r="E420" s="8" t="n"/>
      <c r="F420" s="8">
        <f>IF(A420&lt;&gt;"",TEXT(A420,"YYYY-MM"),"")</f>
        <v/>
      </c>
    </row>
    <row r="421">
      <c r="A421" s="71" t="n"/>
      <c r="B421" s="8" t="n"/>
      <c r="C421" s="8" t="n"/>
      <c r="D421" s="14" t="n"/>
      <c r="E421" s="8" t="n"/>
      <c r="F421" s="8">
        <f>IF(A421&lt;&gt;"",TEXT(A421,"YYYY-MM"),"")</f>
        <v/>
      </c>
    </row>
    <row r="422">
      <c r="A422" s="71" t="n"/>
      <c r="B422" s="8" t="n"/>
      <c r="C422" s="8" t="n"/>
      <c r="D422" s="14" t="n"/>
      <c r="E422" s="8" t="n"/>
      <c r="F422" s="8">
        <f>IF(A422&lt;&gt;"",TEXT(A422,"YYYY-MM"),"")</f>
        <v/>
      </c>
    </row>
    <row r="423">
      <c r="A423" s="71" t="n"/>
      <c r="B423" s="8" t="n"/>
      <c r="C423" s="8" t="n"/>
      <c r="D423" s="14" t="n"/>
      <c r="E423" s="8" t="n"/>
      <c r="F423" s="8">
        <f>IF(A423&lt;&gt;"",TEXT(A423,"YYYY-MM"),"")</f>
        <v/>
      </c>
    </row>
    <row r="424">
      <c r="A424" s="71" t="n"/>
      <c r="B424" s="8" t="n"/>
      <c r="C424" s="8" t="n"/>
      <c r="D424" s="14" t="n"/>
      <c r="E424" s="8" t="n"/>
      <c r="F424" s="8">
        <f>IF(A424&lt;&gt;"",TEXT(A424,"YYYY-MM"),"")</f>
        <v/>
      </c>
    </row>
    <row r="425">
      <c r="A425" s="71" t="n"/>
      <c r="B425" s="8" t="n"/>
      <c r="C425" s="8" t="n"/>
      <c r="D425" s="14" t="n"/>
      <c r="E425" s="8" t="n"/>
      <c r="F425" s="8">
        <f>IF(A425&lt;&gt;"",TEXT(A425,"YYYY-MM"),"")</f>
        <v/>
      </c>
    </row>
    <row r="426">
      <c r="A426" s="71" t="n"/>
      <c r="B426" s="8" t="n"/>
      <c r="C426" s="8" t="n"/>
      <c r="D426" s="14" t="n"/>
      <c r="E426" s="8" t="n"/>
      <c r="F426" s="8">
        <f>IF(A426&lt;&gt;"",TEXT(A426,"YYYY-MM"),"")</f>
        <v/>
      </c>
    </row>
    <row r="427">
      <c r="A427" s="71" t="n"/>
      <c r="B427" s="8" t="n"/>
      <c r="C427" s="8" t="n"/>
      <c r="D427" s="14" t="n"/>
      <c r="E427" s="8" t="n"/>
      <c r="F427" s="8">
        <f>IF(A427&lt;&gt;"",TEXT(A427,"YYYY-MM"),"")</f>
        <v/>
      </c>
    </row>
    <row r="428">
      <c r="A428" s="71" t="n"/>
      <c r="B428" s="8" t="n"/>
      <c r="C428" s="8" t="n"/>
      <c r="D428" s="14" t="n"/>
      <c r="E428" s="8" t="n"/>
      <c r="F428" s="8">
        <f>IF(A428&lt;&gt;"",TEXT(A428,"YYYY-MM"),"")</f>
        <v/>
      </c>
    </row>
    <row r="429">
      <c r="A429" s="71" t="n"/>
      <c r="B429" s="8" t="n"/>
      <c r="C429" s="8" t="n"/>
      <c r="D429" s="14" t="n"/>
      <c r="E429" s="8" t="n"/>
      <c r="F429" s="8">
        <f>IF(A429&lt;&gt;"",TEXT(A429,"YYYY-MM"),"")</f>
        <v/>
      </c>
    </row>
    <row r="430">
      <c r="A430" s="71" t="n"/>
      <c r="B430" s="8" t="n"/>
      <c r="C430" s="8" t="n"/>
      <c r="D430" s="14" t="n"/>
      <c r="E430" s="8" t="n"/>
      <c r="F430" s="8">
        <f>IF(A430&lt;&gt;"",TEXT(A430,"YYYY-MM"),"")</f>
        <v/>
      </c>
    </row>
    <row r="431">
      <c r="A431" s="71" t="n"/>
      <c r="B431" s="8" t="n"/>
      <c r="C431" s="8" t="n"/>
      <c r="D431" s="14" t="n"/>
      <c r="E431" s="8" t="n"/>
      <c r="F431" s="8">
        <f>IF(A431&lt;&gt;"",TEXT(A431,"YYYY-MM"),"")</f>
        <v/>
      </c>
    </row>
    <row r="432">
      <c r="A432" s="71" t="n"/>
      <c r="B432" s="8" t="n"/>
      <c r="C432" s="8" t="n"/>
      <c r="D432" s="14" t="n"/>
      <c r="E432" s="8" t="n"/>
      <c r="F432" s="8">
        <f>IF(A432&lt;&gt;"",TEXT(A432,"YYYY-MM"),"")</f>
        <v/>
      </c>
    </row>
    <row r="433">
      <c r="A433" s="71" t="n"/>
      <c r="B433" s="8" t="n"/>
      <c r="C433" s="8" t="n"/>
      <c r="D433" s="14" t="n"/>
      <c r="E433" s="8" t="n"/>
      <c r="F433" s="8">
        <f>IF(A433&lt;&gt;"",TEXT(A433,"YYYY-MM"),"")</f>
        <v/>
      </c>
    </row>
    <row r="434">
      <c r="A434" s="71" t="n"/>
      <c r="B434" s="8" t="n"/>
      <c r="C434" s="8" t="n"/>
      <c r="D434" s="14" t="n"/>
      <c r="E434" s="8" t="n"/>
      <c r="F434" s="8">
        <f>IF(A434&lt;&gt;"",TEXT(A434,"YYYY-MM"),"")</f>
        <v/>
      </c>
    </row>
    <row r="435">
      <c r="A435" s="71" t="n"/>
      <c r="B435" s="8" t="n"/>
      <c r="C435" s="8" t="n"/>
      <c r="D435" s="14" t="n"/>
      <c r="E435" s="8" t="n"/>
      <c r="F435" s="8">
        <f>IF(A435&lt;&gt;"",TEXT(A435,"YYYY-MM"),"")</f>
        <v/>
      </c>
    </row>
    <row r="436">
      <c r="A436" s="71" t="n"/>
      <c r="B436" s="8" t="n"/>
      <c r="C436" s="8" t="n"/>
      <c r="D436" s="14" t="n"/>
      <c r="E436" s="8" t="n"/>
      <c r="F436" s="8">
        <f>IF(A436&lt;&gt;"",TEXT(A436,"YYYY-MM"),"")</f>
        <v/>
      </c>
    </row>
    <row r="437">
      <c r="A437" s="71" t="n"/>
      <c r="B437" s="8" t="n"/>
      <c r="C437" s="8" t="n"/>
      <c r="D437" s="14" t="n"/>
      <c r="E437" s="8" t="n"/>
      <c r="F437" s="8">
        <f>IF(A437&lt;&gt;"",TEXT(A437,"YYYY-MM"),"")</f>
        <v/>
      </c>
    </row>
    <row r="438">
      <c r="A438" s="71" t="n"/>
      <c r="B438" s="8" t="n"/>
      <c r="C438" s="8" t="n"/>
      <c r="D438" s="14" t="n"/>
      <c r="E438" s="8" t="n"/>
      <c r="F438" s="8">
        <f>IF(A438&lt;&gt;"",TEXT(A438,"YYYY-MM"),"")</f>
        <v/>
      </c>
    </row>
    <row r="439">
      <c r="A439" s="71" t="n"/>
      <c r="B439" s="8" t="n"/>
      <c r="C439" s="8" t="n"/>
      <c r="D439" s="14" t="n"/>
      <c r="E439" s="8" t="n"/>
      <c r="F439" s="8">
        <f>IF(A439&lt;&gt;"",TEXT(A439,"YYYY-MM"),"")</f>
        <v/>
      </c>
    </row>
    <row r="440">
      <c r="A440" s="71" t="n"/>
      <c r="B440" s="8" t="n"/>
      <c r="C440" s="8" t="n"/>
      <c r="D440" s="14" t="n"/>
      <c r="E440" s="8" t="n"/>
      <c r="F440" s="8">
        <f>IF(A440&lt;&gt;"",TEXT(A440,"YYYY-MM"),"")</f>
        <v/>
      </c>
    </row>
    <row r="441">
      <c r="A441" s="71" t="n"/>
      <c r="B441" s="8" t="n"/>
      <c r="C441" s="8" t="n"/>
      <c r="D441" s="14" t="n"/>
      <c r="E441" s="8" t="n"/>
      <c r="F441" s="8">
        <f>IF(A441&lt;&gt;"",TEXT(A441,"YYYY-MM"),"")</f>
        <v/>
      </c>
    </row>
    <row r="442">
      <c r="A442" s="71" t="n"/>
      <c r="B442" s="8" t="n"/>
      <c r="C442" s="8" t="n"/>
      <c r="D442" s="14" t="n"/>
      <c r="E442" s="8" t="n"/>
      <c r="F442" s="8">
        <f>IF(A442&lt;&gt;"",TEXT(A442,"YYYY-MM"),"")</f>
        <v/>
      </c>
    </row>
    <row r="443">
      <c r="A443" s="71" t="n"/>
      <c r="B443" s="8" t="n"/>
      <c r="C443" s="8" t="n"/>
      <c r="D443" s="14" t="n"/>
      <c r="E443" s="8" t="n"/>
      <c r="F443" s="8">
        <f>IF(A443&lt;&gt;"",TEXT(A443,"YYYY-MM"),"")</f>
        <v/>
      </c>
    </row>
    <row r="444">
      <c r="A444" s="71" t="n"/>
      <c r="B444" s="8" t="n"/>
      <c r="C444" s="8" t="n"/>
      <c r="D444" s="14" t="n"/>
      <c r="E444" s="8" t="n"/>
      <c r="F444" s="8">
        <f>IF(A444&lt;&gt;"",TEXT(A444,"YYYY-MM"),"")</f>
        <v/>
      </c>
    </row>
    <row r="445">
      <c r="A445" s="71" t="n"/>
      <c r="B445" s="8" t="n"/>
      <c r="C445" s="8" t="n"/>
      <c r="D445" s="14" t="n"/>
      <c r="E445" s="8" t="n"/>
      <c r="F445" s="8">
        <f>IF(A445&lt;&gt;"",TEXT(A445,"YYYY-MM"),"")</f>
        <v/>
      </c>
    </row>
    <row r="446">
      <c r="A446" s="71" t="n"/>
      <c r="B446" s="8" t="n"/>
      <c r="C446" s="8" t="n"/>
      <c r="D446" s="14" t="n"/>
      <c r="E446" s="8" t="n"/>
      <c r="F446" s="8">
        <f>IF(A446&lt;&gt;"",TEXT(A446,"YYYY-MM"),"")</f>
        <v/>
      </c>
    </row>
    <row r="447">
      <c r="A447" s="71" t="n"/>
      <c r="B447" s="8" t="n"/>
      <c r="C447" s="8" t="n"/>
      <c r="D447" s="14" t="n"/>
      <c r="E447" s="8" t="n"/>
      <c r="F447" s="8">
        <f>IF(A447&lt;&gt;"",TEXT(A447,"YYYY-MM"),"")</f>
        <v/>
      </c>
    </row>
    <row r="448">
      <c r="A448" s="71" t="n"/>
      <c r="B448" s="8" t="n"/>
      <c r="C448" s="8" t="n"/>
      <c r="D448" s="14" t="n"/>
      <c r="E448" s="8" t="n"/>
      <c r="F448" s="8">
        <f>IF(A448&lt;&gt;"",TEXT(A448,"YYYY-MM"),"")</f>
        <v/>
      </c>
    </row>
    <row r="449">
      <c r="A449" s="71" t="n"/>
      <c r="B449" s="8" t="n"/>
      <c r="C449" s="8" t="n"/>
      <c r="D449" s="14" t="n"/>
      <c r="E449" s="8" t="n"/>
      <c r="F449" s="8">
        <f>IF(A449&lt;&gt;"",TEXT(A449,"YYYY-MM"),"")</f>
        <v/>
      </c>
    </row>
    <row r="450">
      <c r="A450" s="71" t="n"/>
      <c r="B450" s="8" t="n"/>
      <c r="C450" s="8" t="n"/>
      <c r="D450" s="14" t="n"/>
      <c r="E450" s="8" t="n"/>
      <c r="F450" s="8">
        <f>IF(A450&lt;&gt;"",TEXT(A450,"YYYY-MM"),"")</f>
        <v/>
      </c>
    </row>
    <row r="451">
      <c r="A451" s="71" t="n"/>
      <c r="B451" s="8" t="n"/>
      <c r="C451" s="8" t="n"/>
      <c r="D451" s="14" t="n"/>
      <c r="E451" s="8" t="n"/>
      <c r="F451" s="8">
        <f>IF(A451&lt;&gt;"",TEXT(A451,"YYYY-MM"),"")</f>
        <v/>
      </c>
    </row>
    <row r="452">
      <c r="A452" s="71" t="n"/>
      <c r="B452" s="8" t="n"/>
      <c r="C452" s="8" t="n"/>
      <c r="D452" s="14" t="n"/>
      <c r="E452" s="8" t="n"/>
      <c r="F452" s="8">
        <f>IF(A452&lt;&gt;"",TEXT(A452,"YYYY-MM"),"")</f>
        <v/>
      </c>
    </row>
    <row r="453">
      <c r="A453" s="71" t="n"/>
      <c r="B453" s="8" t="n"/>
      <c r="C453" s="8" t="n"/>
      <c r="D453" s="14" t="n"/>
      <c r="E453" s="8" t="n"/>
      <c r="F453" s="8">
        <f>IF(A453&lt;&gt;"",TEXT(A453,"YYYY-MM"),"")</f>
        <v/>
      </c>
    </row>
    <row r="454">
      <c r="A454" s="71" t="n"/>
      <c r="B454" s="8" t="n"/>
      <c r="C454" s="8" t="n"/>
      <c r="D454" s="14" t="n"/>
      <c r="E454" s="8" t="n"/>
      <c r="F454" s="8">
        <f>IF(A454&lt;&gt;"",TEXT(A454,"YYYY-MM"),"")</f>
        <v/>
      </c>
    </row>
    <row r="455">
      <c r="A455" s="71" t="n"/>
      <c r="B455" s="8" t="n"/>
      <c r="C455" s="8" t="n"/>
      <c r="D455" s="14" t="n"/>
      <c r="E455" s="8" t="n"/>
      <c r="F455" s="8">
        <f>IF(A455&lt;&gt;"",TEXT(A455,"YYYY-MM"),"")</f>
        <v/>
      </c>
    </row>
    <row r="456">
      <c r="A456" s="71" t="n"/>
      <c r="B456" s="8" t="n"/>
      <c r="C456" s="8" t="n"/>
      <c r="D456" s="14" t="n"/>
      <c r="E456" s="8" t="n"/>
      <c r="F456" s="8">
        <f>IF(A456&lt;&gt;"",TEXT(A456,"YYYY-MM"),"")</f>
        <v/>
      </c>
    </row>
    <row r="457">
      <c r="A457" s="71" t="n"/>
      <c r="B457" s="8" t="n"/>
      <c r="C457" s="8" t="n"/>
      <c r="D457" s="14" t="n"/>
      <c r="E457" s="8" t="n"/>
      <c r="F457" s="8">
        <f>IF(A457&lt;&gt;"",TEXT(A457,"YYYY-MM"),"")</f>
        <v/>
      </c>
    </row>
    <row r="458">
      <c r="A458" s="71" t="n"/>
      <c r="B458" s="8" t="n"/>
      <c r="C458" s="8" t="n"/>
      <c r="D458" s="14" t="n"/>
      <c r="E458" s="8" t="n"/>
      <c r="F458" s="8">
        <f>IF(A458&lt;&gt;"",TEXT(A458,"YYYY-MM"),"")</f>
        <v/>
      </c>
    </row>
    <row r="459">
      <c r="A459" s="71" t="n"/>
      <c r="B459" s="8" t="n"/>
      <c r="C459" s="8" t="n"/>
      <c r="D459" s="14" t="n"/>
      <c r="E459" s="8" t="n"/>
      <c r="F459" s="8">
        <f>IF(A459&lt;&gt;"",TEXT(A459,"YYYY-MM"),"")</f>
        <v/>
      </c>
    </row>
    <row r="460">
      <c r="A460" s="71" t="n"/>
      <c r="B460" s="8" t="n"/>
      <c r="C460" s="8" t="n"/>
      <c r="D460" s="14" t="n"/>
      <c r="E460" s="8" t="n"/>
      <c r="F460" s="8">
        <f>IF(A460&lt;&gt;"",TEXT(A460,"YYYY-MM"),"")</f>
        <v/>
      </c>
    </row>
    <row r="461">
      <c r="A461" s="71" t="n"/>
      <c r="B461" s="8" t="n"/>
      <c r="C461" s="8" t="n"/>
      <c r="D461" s="14" t="n"/>
      <c r="E461" s="8" t="n"/>
      <c r="F461" s="8">
        <f>IF(A461&lt;&gt;"",TEXT(A461,"YYYY-MM"),"")</f>
        <v/>
      </c>
    </row>
    <row r="462">
      <c r="A462" s="71" t="n"/>
      <c r="B462" s="8" t="n"/>
      <c r="C462" s="8" t="n"/>
      <c r="D462" s="14" t="n"/>
      <c r="E462" s="8" t="n"/>
      <c r="F462" s="8">
        <f>IF(A462&lt;&gt;"",TEXT(A462,"YYYY-MM"),"")</f>
        <v/>
      </c>
    </row>
    <row r="463">
      <c r="A463" s="71" t="n"/>
      <c r="B463" s="8" t="n"/>
      <c r="C463" s="8" t="n"/>
      <c r="D463" s="14" t="n"/>
      <c r="E463" s="8" t="n"/>
      <c r="F463" s="8">
        <f>IF(A463&lt;&gt;"",TEXT(A463,"YYYY-MM"),"")</f>
        <v/>
      </c>
    </row>
    <row r="464">
      <c r="A464" s="71" t="n"/>
      <c r="B464" s="8" t="n"/>
      <c r="C464" s="8" t="n"/>
      <c r="D464" s="14" t="n"/>
      <c r="E464" s="8" t="n"/>
      <c r="F464" s="8">
        <f>IF(A464&lt;&gt;"",TEXT(A464,"YYYY-MM"),"")</f>
        <v/>
      </c>
    </row>
    <row r="465">
      <c r="A465" s="71" t="n"/>
      <c r="B465" s="8" t="n"/>
      <c r="C465" s="8" t="n"/>
      <c r="D465" s="14" t="n"/>
      <c r="E465" s="8" t="n"/>
      <c r="F465" s="8">
        <f>IF(A465&lt;&gt;"",TEXT(A465,"YYYY-MM"),"")</f>
        <v/>
      </c>
    </row>
    <row r="466">
      <c r="A466" s="71" t="n"/>
      <c r="B466" s="8" t="n"/>
      <c r="C466" s="8" t="n"/>
      <c r="D466" s="14" t="n"/>
      <c r="E466" s="8" t="n"/>
      <c r="F466" s="8">
        <f>IF(A466&lt;&gt;"",TEXT(A466,"YYYY-MM"),"")</f>
        <v/>
      </c>
    </row>
    <row r="467">
      <c r="A467" s="71" t="n"/>
      <c r="B467" s="8" t="n"/>
      <c r="C467" s="8" t="n"/>
      <c r="D467" s="14" t="n"/>
      <c r="E467" s="8" t="n"/>
      <c r="F467" s="8">
        <f>IF(A467&lt;&gt;"",TEXT(A467,"YYYY-MM"),"")</f>
        <v/>
      </c>
    </row>
    <row r="468">
      <c r="A468" s="71" t="n"/>
      <c r="B468" s="8" t="n"/>
      <c r="C468" s="8" t="n"/>
      <c r="D468" s="14" t="n"/>
      <c r="E468" s="8" t="n"/>
      <c r="F468" s="8">
        <f>IF(A468&lt;&gt;"",TEXT(A468,"YYYY-MM"),"")</f>
        <v/>
      </c>
    </row>
    <row r="469">
      <c r="A469" s="71" t="n"/>
      <c r="B469" s="8" t="n"/>
      <c r="C469" s="8" t="n"/>
      <c r="D469" s="14" t="n"/>
      <c r="E469" s="8" t="n"/>
      <c r="F469" s="8">
        <f>IF(A469&lt;&gt;"",TEXT(A469,"YYYY-MM"),"")</f>
        <v/>
      </c>
    </row>
    <row r="470">
      <c r="A470" s="71" t="n"/>
      <c r="B470" s="8" t="n"/>
      <c r="C470" s="8" t="n"/>
      <c r="D470" s="14" t="n"/>
      <c r="E470" s="8" t="n"/>
      <c r="F470" s="8">
        <f>IF(A470&lt;&gt;"",TEXT(A470,"YYYY-MM"),"")</f>
        <v/>
      </c>
    </row>
    <row r="471">
      <c r="A471" s="71" t="n"/>
      <c r="B471" s="8" t="n"/>
      <c r="C471" s="8" t="n"/>
      <c r="D471" s="14" t="n"/>
      <c r="E471" s="8" t="n"/>
      <c r="F471" s="8">
        <f>IF(A471&lt;&gt;"",TEXT(A471,"YYYY-MM"),"")</f>
        <v/>
      </c>
    </row>
    <row r="472">
      <c r="A472" s="71" t="n"/>
      <c r="B472" s="8" t="n"/>
      <c r="C472" s="8" t="n"/>
      <c r="D472" s="14" t="n"/>
      <c r="E472" s="8" t="n"/>
      <c r="F472" s="8">
        <f>IF(A472&lt;&gt;"",TEXT(A472,"YYYY-MM"),"")</f>
        <v/>
      </c>
    </row>
    <row r="473">
      <c r="A473" s="71" t="n"/>
      <c r="B473" s="8" t="n"/>
      <c r="C473" s="8" t="n"/>
      <c r="D473" s="14" t="n"/>
      <c r="E473" s="8" t="n"/>
      <c r="F473" s="8">
        <f>IF(A473&lt;&gt;"",TEXT(A473,"YYYY-MM"),"")</f>
        <v/>
      </c>
    </row>
    <row r="474">
      <c r="A474" s="71" t="n"/>
      <c r="B474" s="8" t="n"/>
      <c r="C474" s="8" t="n"/>
      <c r="D474" s="14" t="n"/>
      <c r="E474" s="8" t="n"/>
      <c r="F474" s="8">
        <f>IF(A474&lt;&gt;"",TEXT(A474,"YYYY-MM"),"")</f>
        <v/>
      </c>
    </row>
    <row r="475">
      <c r="A475" s="71" t="n"/>
      <c r="B475" s="8" t="n"/>
      <c r="C475" s="8" t="n"/>
      <c r="D475" s="14" t="n"/>
      <c r="E475" s="8" t="n"/>
      <c r="F475" s="8">
        <f>IF(A475&lt;&gt;"",TEXT(A475,"YYYY-MM"),"")</f>
        <v/>
      </c>
    </row>
    <row r="476">
      <c r="A476" s="71" t="n"/>
      <c r="B476" s="8" t="n"/>
      <c r="C476" s="8" t="n"/>
      <c r="D476" s="14" t="n"/>
      <c r="E476" s="8" t="n"/>
      <c r="F476" s="8">
        <f>IF(A476&lt;&gt;"",TEXT(A476,"YYYY-MM"),"")</f>
        <v/>
      </c>
    </row>
    <row r="477">
      <c r="A477" s="71" t="n"/>
      <c r="B477" s="8" t="n"/>
      <c r="C477" s="8" t="n"/>
      <c r="D477" s="14" t="n"/>
      <c r="E477" s="8" t="n"/>
      <c r="F477" s="8">
        <f>IF(A477&lt;&gt;"",TEXT(A477,"YYYY-MM"),"")</f>
        <v/>
      </c>
    </row>
    <row r="478">
      <c r="A478" s="71" t="n"/>
      <c r="B478" s="8" t="n"/>
      <c r="C478" s="8" t="n"/>
      <c r="D478" s="14" t="n"/>
      <c r="E478" s="8" t="n"/>
      <c r="F478" s="8">
        <f>IF(A478&lt;&gt;"",TEXT(A478,"YYYY-MM"),"")</f>
        <v/>
      </c>
    </row>
    <row r="479">
      <c r="A479" s="71" t="n"/>
      <c r="B479" s="8" t="n"/>
      <c r="C479" s="8" t="n"/>
      <c r="D479" s="14" t="n"/>
      <c r="E479" s="8" t="n"/>
      <c r="F479" s="8">
        <f>IF(A479&lt;&gt;"",TEXT(A479,"YYYY-MM"),"")</f>
        <v/>
      </c>
    </row>
    <row r="480">
      <c r="A480" s="71" t="n"/>
      <c r="B480" s="8" t="n"/>
      <c r="C480" s="8" t="n"/>
      <c r="D480" s="14" t="n"/>
      <c r="E480" s="8" t="n"/>
      <c r="F480" s="8">
        <f>IF(A480&lt;&gt;"",TEXT(A480,"YYYY-MM"),"")</f>
        <v/>
      </c>
    </row>
    <row r="481">
      <c r="A481" s="71" t="n"/>
      <c r="B481" s="8" t="n"/>
      <c r="C481" s="8" t="n"/>
      <c r="D481" s="14" t="n"/>
      <c r="E481" s="8" t="n"/>
      <c r="F481" s="8">
        <f>IF(A481&lt;&gt;"",TEXT(A481,"YYYY-MM"),"")</f>
        <v/>
      </c>
    </row>
    <row r="482">
      <c r="A482" s="71" t="n"/>
      <c r="B482" s="8" t="n"/>
      <c r="C482" s="8" t="n"/>
      <c r="D482" s="14" t="n"/>
      <c r="E482" s="8" t="n"/>
      <c r="F482" s="8">
        <f>IF(A482&lt;&gt;"",TEXT(A482,"YYYY-MM"),"")</f>
        <v/>
      </c>
    </row>
    <row r="483">
      <c r="A483" s="71" t="n"/>
      <c r="B483" s="8" t="n"/>
      <c r="C483" s="8" t="n"/>
      <c r="D483" s="14" t="n"/>
      <c r="E483" s="8" t="n"/>
      <c r="F483" s="8">
        <f>IF(A483&lt;&gt;"",TEXT(A483,"YYYY-MM"),"")</f>
        <v/>
      </c>
    </row>
    <row r="484">
      <c r="A484" s="71" t="n"/>
      <c r="B484" s="8" t="n"/>
      <c r="C484" s="8" t="n"/>
      <c r="D484" s="14" t="n"/>
      <c r="E484" s="8" t="n"/>
      <c r="F484" s="8">
        <f>IF(A484&lt;&gt;"",TEXT(A484,"YYYY-MM"),"")</f>
        <v/>
      </c>
    </row>
    <row r="485">
      <c r="A485" s="71" t="n"/>
      <c r="B485" s="8" t="n"/>
      <c r="C485" s="8" t="n"/>
      <c r="D485" s="14" t="n"/>
      <c r="E485" s="8" t="n"/>
      <c r="F485" s="8">
        <f>IF(A485&lt;&gt;"",TEXT(A485,"YYYY-MM"),"")</f>
        <v/>
      </c>
    </row>
    <row r="486">
      <c r="A486" s="71" t="n"/>
      <c r="B486" s="8" t="n"/>
      <c r="C486" s="8" t="n"/>
      <c r="D486" s="14" t="n"/>
      <c r="E486" s="8" t="n"/>
      <c r="F486" s="8">
        <f>IF(A486&lt;&gt;"",TEXT(A486,"YYYY-MM"),"")</f>
        <v/>
      </c>
    </row>
    <row r="487">
      <c r="A487" s="71" t="n"/>
      <c r="B487" s="8" t="n"/>
      <c r="C487" s="8" t="n"/>
      <c r="D487" s="14" t="n"/>
      <c r="E487" s="8" t="n"/>
      <c r="F487" s="8">
        <f>IF(A487&lt;&gt;"",TEXT(A487,"YYYY-MM"),"")</f>
        <v/>
      </c>
    </row>
    <row r="488">
      <c r="A488" s="71" t="n"/>
      <c r="B488" s="8" t="n"/>
      <c r="C488" s="8" t="n"/>
      <c r="D488" s="14" t="n"/>
      <c r="E488" s="8" t="n"/>
      <c r="F488" s="8">
        <f>IF(A488&lt;&gt;"",TEXT(A488,"YYYY-MM"),"")</f>
        <v/>
      </c>
    </row>
    <row r="489">
      <c r="A489" s="71" t="n"/>
      <c r="B489" s="8" t="n"/>
      <c r="C489" s="8" t="n"/>
      <c r="D489" s="14" t="n"/>
      <c r="E489" s="8" t="n"/>
      <c r="F489" s="8">
        <f>IF(A489&lt;&gt;"",TEXT(A489,"YYYY-MM"),"")</f>
        <v/>
      </c>
    </row>
    <row r="490">
      <c r="A490" s="71" t="n"/>
      <c r="B490" s="8" t="n"/>
      <c r="C490" s="8" t="n"/>
      <c r="D490" s="14" t="n"/>
      <c r="E490" s="8" t="n"/>
      <c r="F490" s="8">
        <f>IF(A490&lt;&gt;"",TEXT(A490,"YYYY-MM"),"")</f>
        <v/>
      </c>
    </row>
    <row r="491">
      <c r="A491" s="71" t="n"/>
      <c r="B491" s="8" t="n"/>
      <c r="C491" s="8" t="n"/>
      <c r="D491" s="14" t="n"/>
      <c r="E491" s="8" t="n"/>
      <c r="F491" s="8">
        <f>IF(A491&lt;&gt;"",TEXT(A491,"YYYY-MM"),"")</f>
        <v/>
      </c>
    </row>
    <row r="492">
      <c r="A492" s="71" t="n"/>
      <c r="B492" s="8" t="n"/>
      <c r="C492" s="8" t="n"/>
      <c r="D492" s="14" t="n"/>
      <c r="E492" s="8" t="n"/>
      <c r="F492" s="8">
        <f>IF(A492&lt;&gt;"",TEXT(A492,"YYYY-MM"),"")</f>
        <v/>
      </c>
    </row>
    <row r="493">
      <c r="A493" s="71" t="n"/>
      <c r="B493" s="8" t="n"/>
      <c r="C493" s="8" t="n"/>
      <c r="D493" s="14" t="n"/>
      <c r="E493" s="8" t="n"/>
      <c r="F493" s="8">
        <f>IF(A493&lt;&gt;"",TEXT(A493,"YYYY-MM"),"")</f>
        <v/>
      </c>
    </row>
    <row r="494">
      <c r="A494" s="71" t="n"/>
      <c r="B494" s="8" t="n"/>
      <c r="C494" s="8" t="n"/>
      <c r="D494" s="14" t="n"/>
      <c r="E494" s="8" t="n"/>
      <c r="F494" s="8">
        <f>IF(A494&lt;&gt;"",TEXT(A494,"YYYY-MM"),"")</f>
        <v/>
      </c>
    </row>
    <row r="495">
      <c r="A495" s="71" t="n"/>
      <c r="B495" s="8" t="n"/>
      <c r="C495" s="8" t="n"/>
      <c r="D495" s="14" t="n"/>
      <c r="E495" s="8" t="n"/>
      <c r="F495" s="8">
        <f>IF(A495&lt;&gt;"",TEXT(A495,"YYYY-MM"),"")</f>
        <v/>
      </c>
    </row>
    <row r="496">
      <c r="A496" s="71" t="n"/>
      <c r="B496" s="8" t="n"/>
      <c r="C496" s="8" t="n"/>
      <c r="D496" s="14" t="n"/>
      <c r="E496" s="8" t="n"/>
      <c r="F496" s="8">
        <f>IF(A496&lt;&gt;"",TEXT(A496,"YYYY-MM"),"")</f>
        <v/>
      </c>
    </row>
    <row r="497">
      <c r="A497" s="71" t="n"/>
      <c r="B497" s="8" t="n"/>
      <c r="C497" s="8" t="n"/>
      <c r="D497" s="14" t="n"/>
      <c r="E497" s="8" t="n"/>
      <c r="F497" s="8">
        <f>IF(A497&lt;&gt;"",TEXT(A497,"YYYY-MM"),"")</f>
        <v/>
      </c>
    </row>
    <row r="498">
      <c r="A498" s="71" t="n"/>
      <c r="B498" s="8" t="n"/>
      <c r="C498" s="8" t="n"/>
      <c r="D498" s="14" t="n"/>
      <c r="E498" s="8" t="n"/>
      <c r="F498" s="8">
        <f>IF(A498&lt;&gt;"",TEXT(A498,"YYYY-MM"),"")</f>
        <v/>
      </c>
    </row>
    <row r="499">
      <c r="A499" s="71" t="n"/>
      <c r="B499" s="8" t="n"/>
      <c r="C499" s="8" t="n"/>
      <c r="D499" s="14" t="n"/>
      <c r="E499" s="8" t="n"/>
      <c r="F499" s="8">
        <f>IF(A499&lt;&gt;"",TEXT(A499,"YYYY-MM"),"")</f>
        <v/>
      </c>
    </row>
    <row r="500">
      <c r="A500" s="71" t="n"/>
      <c r="B500" s="8" t="n"/>
      <c r="C500" s="8" t="n"/>
      <c r="D500" s="14" t="n"/>
      <c r="E500" s="8" t="n"/>
      <c r="F500" s="8">
        <f>IF(A500&lt;&gt;"",TEXT(A500,"YYYY-MM"),"")</f>
        <v/>
      </c>
    </row>
    <row r="501">
      <c r="A501" s="71" t="n"/>
      <c r="B501" s="8" t="n"/>
      <c r="C501" s="8" t="n"/>
      <c r="D501" s="14" t="n"/>
      <c r="E501" s="8" t="n"/>
      <c r="F501" s="8">
        <f>IF(A501&lt;&gt;"",TEXT(A501,"YYYY-MM"),"")</f>
        <v/>
      </c>
    </row>
    <row r="502">
      <c r="A502" s="71" t="n"/>
      <c r="B502" s="8" t="n"/>
      <c r="C502" s="8" t="n"/>
      <c r="D502" s="14" t="n"/>
      <c r="E502" s="8" t="n"/>
      <c r="F502" s="8">
        <f>IF(A502&lt;&gt;"",TEXT(A502,"YYYY-MM"),"")</f>
        <v/>
      </c>
    </row>
  </sheetData>
  <mergeCells count="1">
    <mergeCell ref="A1:F1"/>
  </mergeCells>
  <dataValidations count="1">
    <dataValidation sqref="C3:C502" showDropDown="0" showInputMessage="0" showErrorMessage="0" allowBlank="1" type="list">
      <formula1>"Salary,Freelance,Investment,Side Business,Gift,Other"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G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5" customWidth="1" min="4" max="4"/>
    <col width="18" customWidth="1" min="5" max="5"/>
    <col width="18" customWidth="1" min="6" max="6"/>
    <col width="14" customWidth="1" min="7" max="7"/>
  </cols>
  <sheetData>
    <row r="1" ht="35" customHeight="1">
      <c r="A1" s="70" t="inlineStr">
        <is>
          <t>SAVINGS TRACKER</t>
        </is>
      </c>
    </row>
    <row r="2">
      <c r="A2" s="4" t="inlineStr">
        <is>
          <t>Date</t>
        </is>
      </c>
      <c r="B2" s="4" t="inlineStr">
        <is>
          <t>Account</t>
        </is>
      </c>
      <c r="C2" s="4" t="inlineStr">
        <is>
          <t>Type</t>
        </is>
      </c>
      <c r="D2" s="4" t="inlineStr">
        <is>
          <t>Amount</t>
        </is>
      </c>
      <c r="E2" s="4" t="inlineStr">
        <is>
          <t>Balance After</t>
        </is>
      </c>
      <c r="F2" s="4" t="inlineStr">
        <is>
          <t>Goal</t>
        </is>
      </c>
      <c r="G2" s="4" t="inlineStr">
        <is>
          <t>Progress</t>
        </is>
      </c>
    </row>
    <row r="3">
      <c r="A3" s="71" t="n">
        <v>46023</v>
      </c>
      <c r="B3" s="8" t="inlineStr">
        <is>
          <t>Emergency Fund</t>
        </is>
      </c>
      <c r="C3" s="8" t="inlineStr">
        <is>
          <t>Deposit</t>
        </is>
      </c>
      <c r="D3" s="14" t="n">
        <v>1000000</v>
      </c>
      <c r="E3" s="14" t="n">
        <v>1000000</v>
      </c>
      <c r="F3" s="14" t="n">
        <v>10000000</v>
      </c>
      <c r="G3" s="20">
        <f>IF(AND(E3&lt;&gt;"",F3&lt;&gt;"",F3&lt;&gt;0),E3/F3,"")</f>
        <v/>
      </c>
    </row>
    <row r="4">
      <c r="A4" s="71" t="n">
        <v>46023</v>
      </c>
      <c r="B4" s="8" t="inlineStr">
        <is>
          <t>Vacation</t>
        </is>
      </c>
      <c r="C4" s="8" t="inlineStr">
        <is>
          <t>Deposit</t>
        </is>
      </c>
      <c r="D4" s="14" t="n">
        <v>500000</v>
      </c>
      <c r="E4" s="14" t="n">
        <v>500000</v>
      </c>
      <c r="F4" s="14" t="n">
        <v>3000000</v>
      </c>
      <c r="G4" s="20">
        <f>IF(AND(E4&lt;&gt;"",F4&lt;&gt;"",F4&lt;&gt;0),E4/F4,"")</f>
        <v/>
      </c>
    </row>
    <row r="5">
      <c r="A5" s="71" t="n">
        <v>46023</v>
      </c>
      <c r="B5" s="8" t="inlineStr">
        <is>
          <t>Investment</t>
        </is>
      </c>
      <c r="C5" s="8" t="inlineStr">
        <is>
          <t>Deposit</t>
        </is>
      </c>
      <c r="D5" s="14" t="n">
        <v>2000000</v>
      </c>
      <c r="E5" s="14" t="n">
        <v>2000000</v>
      </c>
      <c r="F5" s="14" t="n">
        <v>20000000</v>
      </c>
      <c r="G5" s="20">
        <f>IF(AND(E5&lt;&gt;"",F5&lt;&gt;"",F5&lt;&gt;0),E5/F5,"")</f>
        <v/>
      </c>
    </row>
    <row r="6">
      <c r="A6" s="71" t="n">
        <v>46037</v>
      </c>
      <c r="B6" s="8" t="inlineStr">
        <is>
          <t>Emergency Fund</t>
        </is>
      </c>
      <c r="C6" s="8" t="inlineStr">
        <is>
          <t>Deposit</t>
        </is>
      </c>
      <c r="D6" s="14" t="n">
        <v>500000</v>
      </c>
      <c r="E6" s="14" t="n">
        <v>1500000</v>
      </c>
      <c r="F6" s="14" t="n">
        <v>10000000</v>
      </c>
      <c r="G6" s="20">
        <f>IF(AND(E6&lt;&gt;"",F6&lt;&gt;"",F6&lt;&gt;0),E6/F6,"")</f>
        <v/>
      </c>
    </row>
    <row r="7">
      <c r="A7" s="71" t="n"/>
      <c r="B7" s="8" t="n"/>
      <c r="C7" s="8" t="n"/>
      <c r="D7" s="14" t="n"/>
      <c r="E7" s="14" t="n"/>
      <c r="F7" s="14" t="n"/>
      <c r="G7" s="20">
        <f>IF(AND(E7&lt;&gt;"",F7&lt;&gt;"",F7&lt;&gt;0),E7/F7,"")</f>
        <v/>
      </c>
    </row>
    <row r="8">
      <c r="A8" s="71" t="n"/>
      <c r="B8" s="8" t="n"/>
      <c r="C8" s="8" t="n"/>
      <c r="D8" s="14" t="n"/>
      <c r="E8" s="14" t="n"/>
      <c r="F8" s="14" t="n"/>
      <c r="G8" s="20">
        <f>IF(AND(E8&lt;&gt;"",F8&lt;&gt;"",F8&lt;&gt;0),E8/F8,"")</f>
        <v/>
      </c>
    </row>
    <row r="9">
      <c r="A9" s="71" t="n"/>
      <c r="B9" s="8" t="n"/>
      <c r="C9" s="8" t="n"/>
      <c r="D9" s="14" t="n"/>
      <c r="E9" s="14" t="n"/>
      <c r="F9" s="14" t="n"/>
      <c r="G9" s="20">
        <f>IF(AND(E9&lt;&gt;"",F9&lt;&gt;"",F9&lt;&gt;0),E9/F9,"")</f>
        <v/>
      </c>
    </row>
    <row r="10">
      <c r="A10" s="71" t="n"/>
      <c r="B10" s="8" t="n"/>
      <c r="C10" s="8" t="n"/>
      <c r="D10" s="14" t="n"/>
      <c r="E10" s="14" t="n"/>
      <c r="F10" s="14" t="n"/>
      <c r="G10" s="20">
        <f>IF(AND(E10&lt;&gt;"",F10&lt;&gt;"",F10&lt;&gt;0),E10/F10,"")</f>
        <v/>
      </c>
    </row>
    <row r="11">
      <c r="A11" s="71" t="n"/>
      <c r="B11" s="8" t="n"/>
      <c r="C11" s="8" t="n"/>
      <c r="D11" s="14" t="n"/>
      <c r="E11" s="14" t="n"/>
      <c r="F11" s="14" t="n"/>
      <c r="G11" s="20">
        <f>IF(AND(E11&lt;&gt;"",F11&lt;&gt;"",F11&lt;&gt;0),E11/F11,"")</f>
        <v/>
      </c>
    </row>
    <row r="12">
      <c r="A12" s="71" t="n"/>
      <c r="B12" s="8" t="n"/>
      <c r="C12" s="8" t="n"/>
      <c r="D12" s="14" t="n"/>
      <c r="E12" s="14" t="n"/>
      <c r="F12" s="14" t="n"/>
      <c r="G12" s="20">
        <f>IF(AND(E12&lt;&gt;"",F12&lt;&gt;"",F12&lt;&gt;0),E12/F12,"")</f>
        <v/>
      </c>
    </row>
    <row r="13">
      <c r="A13" s="71" t="n"/>
      <c r="B13" s="8" t="n"/>
      <c r="C13" s="8" t="n"/>
      <c r="D13" s="14" t="n"/>
      <c r="E13" s="14" t="n"/>
      <c r="F13" s="14" t="n"/>
      <c r="G13" s="20">
        <f>IF(AND(E13&lt;&gt;"",F13&lt;&gt;"",F13&lt;&gt;0),E13/F13,"")</f>
        <v/>
      </c>
    </row>
    <row r="14">
      <c r="A14" s="71" t="n"/>
      <c r="B14" s="8" t="n"/>
      <c r="C14" s="8" t="n"/>
      <c r="D14" s="14" t="n"/>
      <c r="E14" s="14" t="n"/>
      <c r="F14" s="14" t="n"/>
      <c r="G14" s="20">
        <f>IF(AND(E14&lt;&gt;"",F14&lt;&gt;"",F14&lt;&gt;0),E14/F14,"")</f>
        <v/>
      </c>
    </row>
    <row r="15">
      <c r="A15" s="71" t="n"/>
      <c r="B15" s="8" t="n"/>
      <c r="C15" s="8" t="n"/>
      <c r="D15" s="14" t="n"/>
      <c r="E15" s="14" t="n"/>
      <c r="F15" s="14" t="n"/>
      <c r="G15" s="20">
        <f>IF(AND(E15&lt;&gt;"",F15&lt;&gt;"",F15&lt;&gt;0),E15/F15,"")</f>
        <v/>
      </c>
    </row>
    <row r="16">
      <c r="A16" s="71" t="n"/>
      <c r="B16" s="8" t="n"/>
      <c r="C16" s="8" t="n"/>
      <c r="D16" s="14" t="n"/>
      <c r="E16" s="14" t="n"/>
      <c r="F16" s="14" t="n"/>
      <c r="G16" s="20">
        <f>IF(AND(E16&lt;&gt;"",F16&lt;&gt;"",F16&lt;&gt;0),E16/F16,"")</f>
        <v/>
      </c>
    </row>
    <row r="17">
      <c r="A17" s="71" t="n"/>
      <c r="B17" s="8" t="n"/>
      <c r="C17" s="8" t="n"/>
      <c r="D17" s="14" t="n"/>
      <c r="E17" s="14" t="n"/>
      <c r="F17" s="14" t="n"/>
      <c r="G17" s="20">
        <f>IF(AND(E17&lt;&gt;"",F17&lt;&gt;"",F17&lt;&gt;0),E17/F17,"")</f>
        <v/>
      </c>
    </row>
    <row r="18">
      <c r="A18" s="71" t="n"/>
      <c r="B18" s="8" t="n"/>
      <c r="C18" s="8" t="n"/>
      <c r="D18" s="14" t="n"/>
      <c r="E18" s="14" t="n"/>
      <c r="F18" s="14" t="n"/>
      <c r="G18" s="20">
        <f>IF(AND(E18&lt;&gt;"",F18&lt;&gt;"",F18&lt;&gt;0),E18/F18,"")</f>
        <v/>
      </c>
    </row>
    <row r="19">
      <c r="A19" s="71" t="n"/>
      <c r="B19" s="8" t="n"/>
      <c r="C19" s="8" t="n"/>
      <c r="D19" s="14" t="n"/>
      <c r="E19" s="14" t="n"/>
      <c r="F19" s="14" t="n"/>
      <c r="G19" s="20">
        <f>IF(AND(E19&lt;&gt;"",F19&lt;&gt;"",F19&lt;&gt;0),E19/F19,"")</f>
        <v/>
      </c>
    </row>
    <row r="20">
      <c r="A20" s="71" t="n"/>
      <c r="B20" s="8" t="n"/>
      <c r="C20" s="8" t="n"/>
      <c r="D20" s="14" t="n"/>
      <c r="E20" s="14" t="n"/>
      <c r="F20" s="14" t="n"/>
      <c r="G20" s="20">
        <f>IF(AND(E20&lt;&gt;"",F20&lt;&gt;"",F20&lt;&gt;0),E20/F20,"")</f>
        <v/>
      </c>
    </row>
    <row r="21">
      <c r="A21" s="71" t="n"/>
      <c r="B21" s="8" t="n"/>
      <c r="C21" s="8" t="n"/>
      <c r="D21" s="14" t="n"/>
      <c r="E21" s="14" t="n"/>
      <c r="F21" s="14" t="n"/>
      <c r="G21" s="20">
        <f>IF(AND(E21&lt;&gt;"",F21&lt;&gt;"",F21&lt;&gt;0),E21/F21,"")</f>
        <v/>
      </c>
    </row>
    <row r="22">
      <c r="A22" s="71" t="n"/>
      <c r="B22" s="8" t="n"/>
      <c r="C22" s="8" t="n"/>
      <c r="D22" s="14" t="n"/>
      <c r="E22" s="14" t="n"/>
      <c r="F22" s="14" t="n"/>
      <c r="G22" s="20">
        <f>IF(AND(E22&lt;&gt;"",F22&lt;&gt;"",F22&lt;&gt;0),E22/F22,"")</f>
        <v/>
      </c>
    </row>
    <row r="23">
      <c r="A23" s="71" t="n"/>
      <c r="B23" s="8" t="n"/>
      <c r="C23" s="8" t="n"/>
      <c r="D23" s="14" t="n"/>
      <c r="E23" s="14" t="n"/>
      <c r="F23" s="14" t="n"/>
      <c r="G23" s="20">
        <f>IF(AND(E23&lt;&gt;"",F23&lt;&gt;"",F23&lt;&gt;0),E23/F23,"")</f>
        <v/>
      </c>
    </row>
    <row r="24">
      <c r="A24" s="71" t="n"/>
      <c r="B24" s="8" t="n"/>
      <c r="C24" s="8" t="n"/>
      <c r="D24" s="14" t="n"/>
      <c r="E24" s="14" t="n"/>
      <c r="F24" s="14" t="n"/>
      <c r="G24" s="20">
        <f>IF(AND(E24&lt;&gt;"",F24&lt;&gt;"",F24&lt;&gt;0),E24/F24,"")</f>
        <v/>
      </c>
    </row>
    <row r="25">
      <c r="A25" s="71" t="n"/>
      <c r="B25" s="8" t="n"/>
      <c r="C25" s="8" t="n"/>
      <c r="D25" s="14" t="n"/>
      <c r="E25" s="14" t="n"/>
      <c r="F25" s="14" t="n"/>
      <c r="G25" s="20">
        <f>IF(AND(E25&lt;&gt;"",F25&lt;&gt;"",F25&lt;&gt;0),E25/F25,"")</f>
        <v/>
      </c>
    </row>
    <row r="26">
      <c r="A26" s="71" t="n"/>
      <c r="B26" s="8" t="n"/>
      <c r="C26" s="8" t="n"/>
      <c r="D26" s="14" t="n"/>
      <c r="E26" s="14" t="n"/>
      <c r="F26" s="14" t="n"/>
      <c r="G26" s="20">
        <f>IF(AND(E26&lt;&gt;"",F26&lt;&gt;"",F26&lt;&gt;0),E26/F26,"")</f>
        <v/>
      </c>
    </row>
    <row r="27">
      <c r="A27" s="71" t="n"/>
      <c r="B27" s="8" t="n"/>
      <c r="C27" s="8" t="n"/>
      <c r="D27" s="14" t="n"/>
      <c r="E27" s="14" t="n"/>
      <c r="F27" s="14" t="n"/>
      <c r="G27" s="20">
        <f>IF(AND(E27&lt;&gt;"",F27&lt;&gt;"",F27&lt;&gt;0),E27/F27,"")</f>
        <v/>
      </c>
    </row>
    <row r="28">
      <c r="A28" s="71" t="n"/>
      <c r="B28" s="8" t="n"/>
      <c r="C28" s="8" t="n"/>
      <c r="D28" s="14" t="n"/>
      <c r="E28" s="14" t="n"/>
      <c r="F28" s="14" t="n"/>
      <c r="G28" s="20">
        <f>IF(AND(E28&lt;&gt;"",F28&lt;&gt;"",F28&lt;&gt;0),E28/F28,"")</f>
        <v/>
      </c>
    </row>
    <row r="29">
      <c r="A29" s="71" t="n"/>
      <c r="B29" s="8" t="n"/>
      <c r="C29" s="8" t="n"/>
      <c r="D29" s="14" t="n"/>
      <c r="E29" s="14" t="n"/>
      <c r="F29" s="14" t="n"/>
      <c r="G29" s="20">
        <f>IF(AND(E29&lt;&gt;"",F29&lt;&gt;"",F29&lt;&gt;0),E29/F29,"")</f>
        <v/>
      </c>
    </row>
    <row r="30">
      <c r="A30" s="71" t="n"/>
      <c r="B30" s="8" t="n"/>
      <c r="C30" s="8" t="n"/>
      <c r="D30" s="14" t="n"/>
      <c r="E30" s="14" t="n"/>
      <c r="F30" s="14" t="n"/>
      <c r="G30" s="20">
        <f>IF(AND(E30&lt;&gt;"",F30&lt;&gt;"",F30&lt;&gt;0),E30/F30,"")</f>
        <v/>
      </c>
    </row>
    <row r="31">
      <c r="A31" s="71" t="n"/>
      <c r="B31" s="8" t="n"/>
      <c r="C31" s="8" t="n"/>
      <c r="D31" s="14" t="n"/>
      <c r="E31" s="14" t="n"/>
      <c r="F31" s="14" t="n"/>
      <c r="G31" s="20">
        <f>IF(AND(E31&lt;&gt;"",F31&lt;&gt;"",F31&lt;&gt;0),E31/F31,"")</f>
        <v/>
      </c>
    </row>
    <row r="32">
      <c r="A32" s="71" t="n"/>
      <c r="B32" s="8" t="n"/>
      <c r="C32" s="8" t="n"/>
      <c r="D32" s="14" t="n"/>
      <c r="E32" s="14" t="n"/>
      <c r="F32" s="14" t="n"/>
      <c r="G32" s="20">
        <f>IF(AND(E32&lt;&gt;"",F32&lt;&gt;"",F32&lt;&gt;0),E32/F32,"")</f>
        <v/>
      </c>
    </row>
    <row r="33">
      <c r="A33" s="71" t="n"/>
      <c r="B33" s="8" t="n"/>
      <c r="C33" s="8" t="n"/>
      <c r="D33" s="14" t="n"/>
      <c r="E33" s="14" t="n"/>
      <c r="F33" s="14" t="n"/>
      <c r="G33" s="20">
        <f>IF(AND(E33&lt;&gt;"",F33&lt;&gt;"",F33&lt;&gt;0),E33/F33,"")</f>
        <v/>
      </c>
    </row>
    <row r="34">
      <c r="A34" s="71" t="n"/>
      <c r="B34" s="8" t="n"/>
      <c r="C34" s="8" t="n"/>
      <c r="D34" s="14" t="n"/>
      <c r="E34" s="14" t="n"/>
      <c r="F34" s="14" t="n"/>
      <c r="G34" s="20">
        <f>IF(AND(E34&lt;&gt;"",F34&lt;&gt;"",F34&lt;&gt;0),E34/F34,"")</f>
        <v/>
      </c>
    </row>
    <row r="35">
      <c r="A35" s="71" t="n"/>
      <c r="B35" s="8" t="n"/>
      <c r="C35" s="8" t="n"/>
      <c r="D35" s="14" t="n"/>
      <c r="E35" s="14" t="n"/>
      <c r="F35" s="14" t="n"/>
      <c r="G35" s="20">
        <f>IF(AND(E35&lt;&gt;"",F35&lt;&gt;"",F35&lt;&gt;0),E35/F35,"")</f>
        <v/>
      </c>
    </row>
    <row r="36">
      <c r="A36" s="71" t="n"/>
      <c r="B36" s="8" t="n"/>
      <c r="C36" s="8" t="n"/>
      <c r="D36" s="14" t="n"/>
      <c r="E36" s="14" t="n"/>
      <c r="F36" s="14" t="n"/>
      <c r="G36" s="20">
        <f>IF(AND(E36&lt;&gt;"",F36&lt;&gt;"",F36&lt;&gt;0),E36/F36,"")</f>
        <v/>
      </c>
    </row>
    <row r="37">
      <c r="A37" s="71" t="n"/>
      <c r="B37" s="8" t="n"/>
      <c r="C37" s="8" t="n"/>
      <c r="D37" s="14" t="n"/>
      <c r="E37" s="14" t="n"/>
      <c r="F37" s="14" t="n"/>
      <c r="G37" s="20">
        <f>IF(AND(E37&lt;&gt;"",F37&lt;&gt;"",F37&lt;&gt;0),E37/F37,"")</f>
        <v/>
      </c>
    </row>
    <row r="38">
      <c r="A38" s="71" t="n"/>
      <c r="B38" s="8" t="n"/>
      <c r="C38" s="8" t="n"/>
      <c r="D38" s="14" t="n"/>
      <c r="E38" s="14" t="n"/>
      <c r="F38" s="14" t="n"/>
      <c r="G38" s="20">
        <f>IF(AND(E38&lt;&gt;"",F38&lt;&gt;"",F38&lt;&gt;0),E38/F38,"")</f>
        <v/>
      </c>
    </row>
    <row r="39">
      <c r="A39" s="71" t="n"/>
      <c r="B39" s="8" t="n"/>
      <c r="C39" s="8" t="n"/>
      <c r="D39" s="14" t="n"/>
      <c r="E39" s="14" t="n"/>
      <c r="F39" s="14" t="n"/>
      <c r="G39" s="20">
        <f>IF(AND(E39&lt;&gt;"",F39&lt;&gt;"",F39&lt;&gt;0),E39/F39,"")</f>
        <v/>
      </c>
    </row>
    <row r="40">
      <c r="A40" s="71" t="n"/>
      <c r="B40" s="8" t="n"/>
      <c r="C40" s="8" t="n"/>
      <c r="D40" s="14" t="n"/>
      <c r="E40" s="14" t="n"/>
      <c r="F40" s="14" t="n"/>
      <c r="G40" s="20">
        <f>IF(AND(E40&lt;&gt;"",F40&lt;&gt;"",F40&lt;&gt;0),E40/F40,"")</f>
        <v/>
      </c>
    </row>
    <row r="41">
      <c r="A41" s="71" t="n"/>
      <c r="B41" s="8" t="n"/>
      <c r="C41" s="8" t="n"/>
      <c r="D41" s="14" t="n"/>
      <c r="E41" s="14" t="n"/>
      <c r="F41" s="14" t="n"/>
      <c r="G41" s="20">
        <f>IF(AND(E41&lt;&gt;"",F41&lt;&gt;"",F41&lt;&gt;0),E41/F41,"")</f>
        <v/>
      </c>
    </row>
    <row r="42">
      <c r="A42" s="71" t="n"/>
      <c r="B42" s="8" t="n"/>
      <c r="C42" s="8" t="n"/>
      <c r="D42" s="14" t="n"/>
      <c r="E42" s="14" t="n"/>
      <c r="F42" s="14" t="n"/>
      <c r="G42" s="20">
        <f>IF(AND(E42&lt;&gt;"",F42&lt;&gt;"",F42&lt;&gt;0),E42/F42,"")</f>
        <v/>
      </c>
    </row>
    <row r="43">
      <c r="A43" s="71" t="n"/>
      <c r="B43" s="8" t="n"/>
      <c r="C43" s="8" t="n"/>
      <c r="D43" s="14" t="n"/>
      <c r="E43" s="14" t="n"/>
      <c r="F43" s="14" t="n"/>
      <c r="G43" s="20">
        <f>IF(AND(E43&lt;&gt;"",F43&lt;&gt;"",F43&lt;&gt;0),E43/F43,"")</f>
        <v/>
      </c>
    </row>
    <row r="44">
      <c r="A44" s="71" t="n"/>
      <c r="B44" s="8" t="n"/>
      <c r="C44" s="8" t="n"/>
      <c r="D44" s="14" t="n"/>
      <c r="E44" s="14" t="n"/>
      <c r="F44" s="14" t="n"/>
      <c r="G44" s="20">
        <f>IF(AND(E44&lt;&gt;"",F44&lt;&gt;"",F44&lt;&gt;0),E44/F44,"")</f>
        <v/>
      </c>
    </row>
    <row r="45">
      <c r="A45" s="71" t="n"/>
      <c r="B45" s="8" t="n"/>
      <c r="C45" s="8" t="n"/>
      <c r="D45" s="14" t="n"/>
      <c r="E45" s="14" t="n"/>
      <c r="F45" s="14" t="n"/>
      <c r="G45" s="20">
        <f>IF(AND(E45&lt;&gt;"",F45&lt;&gt;"",F45&lt;&gt;0),E45/F45,"")</f>
        <v/>
      </c>
    </row>
    <row r="46">
      <c r="A46" s="71" t="n"/>
      <c r="B46" s="8" t="n"/>
      <c r="C46" s="8" t="n"/>
      <c r="D46" s="14" t="n"/>
      <c r="E46" s="14" t="n"/>
      <c r="F46" s="14" t="n"/>
      <c r="G46" s="20">
        <f>IF(AND(E46&lt;&gt;"",F46&lt;&gt;"",F46&lt;&gt;0),E46/F46,"")</f>
        <v/>
      </c>
    </row>
    <row r="47">
      <c r="A47" s="71" t="n"/>
      <c r="B47" s="8" t="n"/>
      <c r="C47" s="8" t="n"/>
      <c r="D47" s="14" t="n"/>
      <c r="E47" s="14" t="n"/>
      <c r="F47" s="14" t="n"/>
      <c r="G47" s="20">
        <f>IF(AND(E47&lt;&gt;"",F47&lt;&gt;"",F47&lt;&gt;0),E47/F47,"")</f>
        <v/>
      </c>
    </row>
    <row r="48">
      <c r="A48" s="71" t="n"/>
      <c r="B48" s="8" t="n"/>
      <c r="C48" s="8" t="n"/>
      <c r="D48" s="14" t="n"/>
      <c r="E48" s="14" t="n"/>
      <c r="F48" s="14" t="n"/>
      <c r="G48" s="20">
        <f>IF(AND(E48&lt;&gt;"",F48&lt;&gt;"",F48&lt;&gt;0),E48/F48,"")</f>
        <v/>
      </c>
    </row>
    <row r="49">
      <c r="A49" s="71" t="n"/>
      <c r="B49" s="8" t="n"/>
      <c r="C49" s="8" t="n"/>
      <c r="D49" s="14" t="n"/>
      <c r="E49" s="14" t="n"/>
      <c r="F49" s="14" t="n"/>
      <c r="G49" s="20">
        <f>IF(AND(E49&lt;&gt;"",F49&lt;&gt;"",F49&lt;&gt;0),E49/F49,"")</f>
        <v/>
      </c>
    </row>
    <row r="50">
      <c r="A50" s="71" t="n"/>
      <c r="B50" s="8" t="n"/>
      <c r="C50" s="8" t="n"/>
      <c r="D50" s="14" t="n"/>
      <c r="E50" s="14" t="n"/>
      <c r="F50" s="14" t="n"/>
      <c r="G50" s="20">
        <f>IF(AND(E50&lt;&gt;"",F50&lt;&gt;"",F50&lt;&gt;0),E50/F50,"")</f>
        <v/>
      </c>
    </row>
    <row r="51">
      <c r="A51" s="71" t="n"/>
      <c r="B51" s="8" t="n"/>
      <c r="C51" s="8" t="n"/>
      <c r="D51" s="14" t="n"/>
      <c r="E51" s="14" t="n"/>
      <c r="F51" s="14" t="n"/>
      <c r="G51" s="20">
        <f>IF(AND(E51&lt;&gt;"",F51&lt;&gt;"",F51&lt;&gt;0),E51/F51,"")</f>
        <v/>
      </c>
    </row>
    <row r="52">
      <c r="A52" s="71" t="n"/>
      <c r="B52" s="8" t="n"/>
      <c r="C52" s="8" t="n"/>
      <c r="D52" s="14" t="n"/>
      <c r="E52" s="14" t="n"/>
      <c r="F52" s="14" t="n"/>
      <c r="G52" s="20">
        <f>IF(AND(E52&lt;&gt;"",F52&lt;&gt;"",F52&lt;&gt;0),E52/F52,"")</f>
        <v/>
      </c>
    </row>
    <row r="53">
      <c r="A53" s="71" t="n"/>
      <c r="B53" s="8" t="n"/>
      <c r="C53" s="8" t="n"/>
      <c r="D53" s="14" t="n"/>
      <c r="E53" s="14" t="n"/>
      <c r="F53" s="14" t="n"/>
      <c r="G53" s="20">
        <f>IF(AND(E53&lt;&gt;"",F53&lt;&gt;"",F53&lt;&gt;0),E53/F53,"")</f>
        <v/>
      </c>
    </row>
    <row r="54">
      <c r="A54" s="71" t="n"/>
      <c r="B54" s="8" t="n"/>
      <c r="C54" s="8" t="n"/>
      <c r="D54" s="14" t="n"/>
      <c r="E54" s="14" t="n"/>
      <c r="F54" s="14" t="n"/>
      <c r="G54" s="20">
        <f>IF(AND(E54&lt;&gt;"",F54&lt;&gt;"",F54&lt;&gt;0),E54/F54,"")</f>
        <v/>
      </c>
    </row>
    <row r="55">
      <c r="A55" s="71" t="n"/>
      <c r="B55" s="8" t="n"/>
      <c r="C55" s="8" t="n"/>
      <c r="D55" s="14" t="n"/>
      <c r="E55" s="14" t="n"/>
      <c r="F55" s="14" t="n"/>
      <c r="G55" s="20">
        <f>IF(AND(E55&lt;&gt;"",F55&lt;&gt;"",F55&lt;&gt;0),E55/F55,"")</f>
        <v/>
      </c>
    </row>
    <row r="56">
      <c r="A56" s="71" t="n"/>
      <c r="B56" s="8" t="n"/>
      <c r="C56" s="8" t="n"/>
      <c r="D56" s="14" t="n"/>
      <c r="E56" s="14" t="n"/>
      <c r="F56" s="14" t="n"/>
      <c r="G56" s="20">
        <f>IF(AND(E56&lt;&gt;"",F56&lt;&gt;"",F56&lt;&gt;0),E56/F56,"")</f>
        <v/>
      </c>
    </row>
    <row r="57">
      <c r="A57" s="71" t="n"/>
      <c r="B57" s="8" t="n"/>
      <c r="C57" s="8" t="n"/>
      <c r="D57" s="14" t="n"/>
      <c r="E57" s="14" t="n"/>
      <c r="F57" s="14" t="n"/>
      <c r="G57" s="20">
        <f>IF(AND(E57&lt;&gt;"",F57&lt;&gt;"",F57&lt;&gt;0),E57/F57,"")</f>
        <v/>
      </c>
    </row>
    <row r="58">
      <c r="A58" s="71" t="n"/>
      <c r="B58" s="8" t="n"/>
      <c r="C58" s="8" t="n"/>
      <c r="D58" s="14" t="n"/>
      <c r="E58" s="14" t="n"/>
      <c r="F58" s="14" t="n"/>
      <c r="G58" s="20">
        <f>IF(AND(E58&lt;&gt;"",F58&lt;&gt;"",F58&lt;&gt;0),E58/F58,"")</f>
        <v/>
      </c>
    </row>
    <row r="59">
      <c r="A59" s="71" t="n"/>
      <c r="B59" s="8" t="n"/>
      <c r="C59" s="8" t="n"/>
      <c r="D59" s="14" t="n"/>
      <c r="E59" s="14" t="n"/>
      <c r="F59" s="14" t="n"/>
      <c r="G59" s="20">
        <f>IF(AND(E59&lt;&gt;"",F59&lt;&gt;"",F59&lt;&gt;0),E59/F59,"")</f>
        <v/>
      </c>
    </row>
    <row r="60">
      <c r="A60" s="71" t="n"/>
      <c r="B60" s="8" t="n"/>
      <c r="C60" s="8" t="n"/>
      <c r="D60" s="14" t="n"/>
      <c r="E60" s="14" t="n"/>
      <c r="F60" s="14" t="n"/>
      <c r="G60" s="20">
        <f>IF(AND(E60&lt;&gt;"",F60&lt;&gt;"",F60&lt;&gt;0),E60/F60,"")</f>
        <v/>
      </c>
    </row>
    <row r="61">
      <c r="A61" s="71" t="n"/>
      <c r="B61" s="8" t="n"/>
      <c r="C61" s="8" t="n"/>
      <c r="D61" s="14" t="n"/>
      <c r="E61" s="14" t="n"/>
      <c r="F61" s="14" t="n"/>
      <c r="G61" s="20">
        <f>IF(AND(E61&lt;&gt;"",F61&lt;&gt;"",F61&lt;&gt;0),E61/F61,"")</f>
        <v/>
      </c>
    </row>
    <row r="62">
      <c r="A62" s="71" t="n"/>
      <c r="B62" s="8" t="n"/>
      <c r="C62" s="8" t="n"/>
      <c r="D62" s="14" t="n"/>
      <c r="E62" s="14" t="n"/>
      <c r="F62" s="14" t="n"/>
      <c r="G62" s="20">
        <f>IF(AND(E62&lt;&gt;"",F62&lt;&gt;"",F62&lt;&gt;0),E62/F62,"")</f>
        <v/>
      </c>
    </row>
    <row r="63">
      <c r="A63" s="71" t="n"/>
      <c r="B63" s="8" t="n"/>
      <c r="C63" s="8" t="n"/>
      <c r="D63" s="14" t="n"/>
      <c r="E63" s="14" t="n"/>
      <c r="F63" s="14" t="n"/>
      <c r="G63" s="20">
        <f>IF(AND(E63&lt;&gt;"",F63&lt;&gt;"",F63&lt;&gt;0),E63/F63,"")</f>
        <v/>
      </c>
    </row>
    <row r="64">
      <c r="A64" s="71" t="n"/>
      <c r="B64" s="8" t="n"/>
      <c r="C64" s="8" t="n"/>
      <c r="D64" s="14" t="n"/>
      <c r="E64" s="14" t="n"/>
      <c r="F64" s="14" t="n"/>
      <c r="G64" s="20">
        <f>IF(AND(E64&lt;&gt;"",F64&lt;&gt;"",F64&lt;&gt;0),E64/F64,"")</f>
        <v/>
      </c>
    </row>
    <row r="65">
      <c r="A65" s="71" t="n"/>
      <c r="B65" s="8" t="n"/>
      <c r="C65" s="8" t="n"/>
      <c r="D65" s="14" t="n"/>
      <c r="E65" s="14" t="n"/>
      <c r="F65" s="14" t="n"/>
      <c r="G65" s="20">
        <f>IF(AND(E65&lt;&gt;"",F65&lt;&gt;"",F65&lt;&gt;0),E65/F65,"")</f>
        <v/>
      </c>
    </row>
    <row r="66">
      <c r="A66" s="71" t="n"/>
      <c r="B66" s="8" t="n"/>
      <c r="C66" s="8" t="n"/>
      <c r="D66" s="14" t="n"/>
      <c r="E66" s="14" t="n"/>
      <c r="F66" s="14" t="n"/>
      <c r="G66" s="20">
        <f>IF(AND(E66&lt;&gt;"",F66&lt;&gt;"",F66&lt;&gt;0),E66/F66,"")</f>
        <v/>
      </c>
    </row>
    <row r="67">
      <c r="A67" s="71" t="n"/>
      <c r="B67" s="8" t="n"/>
      <c r="C67" s="8" t="n"/>
      <c r="D67" s="14" t="n"/>
      <c r="E67" s="14" t="n"/>
      <c r="F67" s="14" t="n"/>
      <c r="G67" s="20">
        <f>IF(AND(E67&lt;&gt;"",F67&lt;&gt;"",F67&lt;&gt;0),E67/F67,"")</f>
        <v/>
      </c>
    </row>
    <row r="68">
      <c r="A68" s="71" t="n"/>
      <c r="B68" s="8" t="n"/>
      <c r="C68" s="8" t="n"/>
      <c r="D68" s="14" t="n"/>
      <c r="E68" s="14" t="n"/>
      <c r="F68" s="14" t="n"/>
      <c r="G68" s="20">
        <f>IF(AND(E68&lt;&gt;"",F68&lt;&gt;"",F68&lt;&gt;0),E68/F68,"")</f>
        <v/>
      </c>
    </row>
    <row r="69">
      <c r="A69" s="71" t="n"/>
      <c r="B69" s="8" t="n"/>
      <c r="C69" s="8" t="n"/>
      <c r="D69" s="14" t="n"/>
      <c r="E69" s="14" t="n"/>
      <c r="F69" s="14" t="n"/>
      <c r="G69" s="20">
        <f>IF(AND(E69&lt;&gt;"",F69&lt;&gt;"",F69&lt;&gt;0),E69/F69,"")</f>
        <v/>
      </c>
    </row>
    <row r="70">
      <c r="A70" s="71" t="n"/>
      <c r="B70" s="8" t="n"/>
      <c r="C70" s="8" t="n"/>
      <c r="D70" s="14" t="n"/>
      <c r="E70" s="14" t="n"/>
      <c r="F70" s="14" t="n"/>
      <c r="G70" s="20">
        <f>IF(AND(E70&lt;&gt;"",F70&lt;&gt;"",F70&lt;&gt;0),E70/F70,"")</f>
        <v/>
      </c>
    </row>
    <row r="71">
      <c r="A71" s="71" t="n"/>
      <c r="B71" s="8" t="n"/>
      <c r="C71" s="8" t="n"/>
      <c r="D71" s="14" t="n"/>
      <c r="E71" s="14" t="n"/>
      <c r="F71" s="14" t="n"/>
      <c r="G71" s="20">
        <f>IF(AND(E71&lt;&gt;"",F71&lt;&gt;"",F71&lt;&gt;0),E71/F71,"")</f>
        <v/>
      </c>
    </row>
    <row r="72">
      <c r="A72" s="71" t="n"/>
      <c r="B72" s="8" t="n"/>
      <c r="C72" s="8" t="n"/>
      <c r="D72" s="14" t="n"/>
      <c r="E72" s="14" t="n"/>
      <c r="F72" s="14" t="n"/>
      <c r="G72" s="20">
        <f>IF(AND(E72&lt;&gt;"",F72&lt;&gt;"",F72&lt;&gt;0),E72/F72,"")</f>
        <v/>
      </c>
    </row>
    <row r="73">
      <c r="A73" s="71" t="n"/>
      <c r="B73" s="8" t="n"/>
      <c r="C73" s="8" t="n"/>
      <c r="D73" s="14" t="n"/>
      <c r="E73" s="14" t="n"/>
      <c r="F73" s="14" t="n"/>
      <c r="G73" s="20">
        <f>IF(AND(E73&lt;&gt;"",F73&lt;&gt;"",F73&lt;&gt;0),E73/F73,"")</f>
        <v/>
      </c>
    </row>
    <row r="74">
      <c r="A74" s="71" t="n"/>
      <c r="B74" s="8" t="n"/>
      <c r="C74" s="8" t="n"/>
      <c r="D74" s="14" t="n"/>
      <c r="E74" s="14" t="n"/>
      <c r="F74" s="14" t="n"/>
      <c r="G74" s="20">
        <f>IF(AND(E74&lt;&gt;"",F74&lt;&gt;"",F74&lt;&gt;0),E74/F74,"")</f>
        <v/>
      </c>
    </row>
    <row r="75">
      <c r="A75" s="71" t="n"/>
      <c r="B75" s="8" t="n"/>
      <c r="C75" s="8" t="n"/>
      <c r="D75" s="14" t="n"/>
      <c r="E75" s="14" t="n"/>
      <c r="F75" s="14" t="n"/>
      <c r="G75" s="20">
        <f>IF(AND(E75&lt;&gt;"",F75&lt;&gt;"",F75&lt;&gt;0),E75/F75,"")</f>
        <v/>
      </c>
    </row>
    <row r="76">
      <c r="A76" s="71" t="n"/>
      <c r="B76" s="8" t="n"/>
      <c r="C76" s="8" t="n"/>
      <c r="D76" s="14" t="n"/>
      <c r="E76" s="14" t="n"/>
      <c r="F76" s="14" t="n"/>
      <c r="G76" s="20">
        <f>IF(AND(E76&lt;&gt;"",F76&lt;&gt;"",F76&lt;&gt;0),E76/F76,"")</f>
        <v/>
      </c>
    </row>
    <row r="77">
      <c r="A77" s="71" t="n"/>
      <c r="B77" s="8" t="n"/>
      <c r="C77" s="8" t="n"/>
      <c r="D77" s="14" t="n"/>
      <c r="E77" s="14" t="n"/>
      <c r="F77" s="14" t="n"/>
      <c r="G77" s="20">
        <f>IF(AND(E77&lt;&gt;"",F77&lt;&gt;"",F77&lt;&gt;0),E77/F77,"")</f>
        <v/>
      </c>
    </row>
    <row r="78">
      <c r="A78" s="71" t="n"/>
      <c r="B78" s="8" t="n"/>
      <c r="C78" s="8" t="n"/>
      <c r="D78" s="14" t="n"/>
      <c r="E78" s="14" t="n"/>
      <c r="F78" s="14" t="n"/>
      <c r="G78" s="20">
        <f>IF(AND(E78&lt;&gt;"",F78&lt;&gt;"",F78&lt;&gt;0),E78/F78,"")</f>
        <v/>
      </c>
    </row>
    <row r="79">
      <c r="A79" s="71" t="n"/>
      <c r="B79" s="8" t="n"/>
      <c r="C79" s="8" t="n"/>
      <c r="D79" s="14" t="n"/>
      <c r="E79" s="14" t="n"/>
      <c r="F79" s="14" t="n"/>
      <c r="G79" s="20">
        <f>IF(AND(E79&lt;&gt;"",F79&lt;&gt;"",F79&lt;&gt;0),E79/F79,"")</f>
        <v/>
      </c>
    </row>
    <row r="80">
      <c r="A80" s="71" t="n"/>
      <c r="B80" s="8" t="n"/>
      <c r="C80" s="8" t="n"/>
      <c r="D80" s="14" t="n"/>
      <c r="E80" s="14" t="n"/>
      <c r="F80" s="14" t="n"/>
      <c r="G80" s="20">
        <f>IF(AND(E80&lt;&gt;"",F80&lt;&gt;"",F80&lt;&gt;0),E80/F80,"")</f>
        <v/>
      </c>
    </row>
    <row r="81">
      <c r="A81" s="71" t="n"/>
      <c r="B81" s="8" t="n"/>
      <c r="C81" s="8" t="n"/>
      <c r="D81" s="14" t="n"/>
      <c r="E81" s="14" t="n"/>
      <c r="F81" s="14" t="n"/>
      <c r="G81" s="20">
        <f>IF(AND(E81&lt;&gt;"",F81&lt;&gt;"",F81&lt;&gt;0),E81/F81,"")</f>
        <v/>
      </c>
    </row>
    <row r="82">
      <c r="A82" s="71" t="n"/>
      <c r="B82" s="8" t="n"/>
      <c r="C82" s="8" t="n"/>
      <c r="D82" s="14" t="n"/>
      <c r="E82" s="14" t="n"/>
      <c r="F82" s="14" t="n"/>
      <c r="G82" s="20">
        <f>IF(AND(E82&lt;&gt;"",F82&lt;&gt;"",F82&lt;&gt;0),E82/F82,"")</f>
        <v/>
      </c>
    </row>
    <row r="83">
      <c r="A83" s="71" t="n"/>
      <c r="B83" s="8" t="n"/>
      <c r="C83" s="8" t="n"/>
      <c r="D83" s="14" t="n"/>
      <c r="E83" s="14" t="n"/>
      <c r="F83" s="14" t="n"/>
      <c r="G83" s="20">
        <f>IF(AND(E83&lt;&gt;"",F83&lt;&gt;"",F83&lt;&gt;0),E83/F83,"")</f>
        <v/>
      </c>
    </row>
    <row r="84">
      <c r="A84" s="71" t="n"/>
      <c r="B84" s="8" t="n"/>
      <c r="C84" s="8" t="n"/>
      <c r="D84" s="14" t="n"/>
      <c r="E84" s="14" t="n"/>
      <c r="F84" s="14" t="n"/>
      <c r="G84" s="20">
        <f>IF(AND(E84&lt;&gt;"",F84&lt;&gt;"",F84&lt;&gt;0),E84/F84,"")</f>
        <v/>
      </c>
    </row>
    <row r="85">
      <c r="A85" s="71" t="n"/>
      <c r="B85" s="8" t="n"/>
      <c r="C85" s="8" t="n"/>
      <c r="D85" s="14" t="n"/>
      <c r="E85" s="14" t="n"/>
      <c r="F85" s="14" t="n"/>
      <c r="G85" s="20">
        <f>IF(AND(E85&lt;&gt;"",F85&lt;&gt;"",F85&lt;&gt;0),E85/F85,"")</f>
        <v/>
      </c>
    </row>
    <row r="86">
      <c r="A86" s="71" t="n"/>
      <c r="B86" s="8" t="n"/>
      <c r="C86" s="8" t="n"/>
      <c r="D86" s="14" t="n"/>
      <c r="E86" s="14" t="n"/>
      <c r="F86" s="14" t="n"/>
      <c r="G86" s="20">
        <f>IF(AND(E86&lt;&gt;"",F86&lt;&gt;"",F86&lt;&gt;0),E86/F86,"")</f>
        <v/>
      </c>
    </row>
    <row r="87">
      <c r="A87" s="71" t="n"/>
      <c r="B87" s="8" t="n"/>
      <c r="C87" s="8" t="n"/>
      <c r="D87" s="14" t="n"/>
      <c r="E87" s="14" t="n"/>
      <c r="F87" s="14" t="n"/>
      <c r="G87" s="20">
        <f>IF(AND(E87&lt;&gt;"",F87&lt;&gt;"",F87&lt;&gt;0),E87/F87,"")</f>
        <v/>
      </c>
    </row>
    <row r="88">
      <c r="A88" s="71" t="n"/>
      <c r="B88" s="8" t="n"/>
      <c r="C88" s="8" t="n"/>
      <c r="D88" s="14" t="n"/>
      <c r="E88" s="14" t="n"/>
      <c r="F88" s="14" t="n"/>
      <c r="G88" s="20">
        <f>IF(AND(E88&lt;&gt;"",F88&lt;&gt;"",F88&lt;&gt;0),E88/F88,"")</f>
        <v/>
      </c>
    </row>
    <row r="89">
      <c r="A89" s="71" t="n"/>
      <c r="B89" s="8" t="n"/>
      <c r="C89" s="8" t="n"/>
      <c r="D89" s="14" t="n"/>
      <c r="E89" s="14" t="n"/>
      <c r="F89" s="14" t="n"/>
      <c r="G89" s="20">
        <f>IF(AND(E89&lt;&gt;"",F89&lt;&gt;"",F89&lt;&gt;0),E89/F89,"")</f>
        <v/>
      </c>
    </row>
    <row r="90">
      <c r="A90" s="71" t="n"/>
      <c r="B90" s="8" t="n"/>
      <c r="C90" s="8" t="n"/>
      <c r="D90" s="14" t="n"/>
      <c r="E90" s="14" t="n"/>
      <c r="F90" s="14" t="n"/>
      <c r="G90" s="20">
        <f>IF(AND(E90&lt;&gt;"",F90&lt;&gt;"",F90&lt;&gt;0),E90/F90,"")</f>
        <v/>
      </c>
    </row>
    <row r="91">
      <c r="A91" s="71" t="n"/>
      <c r="B91" s="8" t="n"/>
      <c r="C91" s="8" t="n"/>
      <c r="D91" s="14" t="n"/>
      <c r="E91" s="14" t="n"/>
      <c r="F91" s="14" t="n"/>
      <c r="G91" s="20">
        <f>IF(AND(E91&lt;&gt;"",F91&lt;&gt;"",F91&lt;&gt;0),E91/F91,"")</f>
        <v/>
      </c>
    </row>
    <row r="92">
      <c r="A92" s="71" t="n"/>
      <c r="B92" s="8" t="n"/>
      <c r="C92" s="8" t="n"/>
      <c r="D92" s="14" t="n"/>
      <c r="E92" s="14" t="n"/>
      <c r="F92" s="14" t="n"/>
      <c r="G92" s="20">
        <f>IF(AND(E92&lt;&gt;"",F92&lt;&gt;"",F92&lt;&gt;0),E92/F92,"")</f>
        <v/>
      </c>
    </row>
    <row r="93">
      <c r="A93" s="71" t="n"/>
      <c r="B93" s="8" t="n"/>
      <c r="C93" s="8" t="n"/>
      <c r="D93" s="14" t="n"/>
      <c r="E93" s="14" t="n"/>
      <c r="F93" s="14" t="n"/>
      <c r="G93" s="20">
        <f>IF(AND(E93&lt;&gt;"",F93&lt;&gt;"",F93&lt;&gt;0),E93/F93,"")</f>
        <v/>
      </c>
    </row>
    <row r="94">
      <c r="A94" s="71" t="n"/>
      <c r="B94" s="8" t="n"/>
      <c r="C94" s="8" t="n"/>
      <c r="D94" s="14" t="n"/>
      <c r="E94" s="14" t="n"/>
      <c r="F94" s="14" t="n"/>
      <c r="G94" s="20">
        <f>IF(AND(E94&lt;&gt;"",F94&lt;&gt;"",F94&lt;&gt;0),E94/F94,"")</f>
        <v/>
      </c>
    </row>
    <row r="95">
      <c r="A95" s="71" t="n"/>
      <c r="B95" s="8" t="n"/>
      <c r="C95" s="8" t="n"/>
      <c r="D95" s="14" t="n"/>
      <c r="E95" s="14" t="n"/>
      <c r="F95" s="14" t="n"/>
      <c r="G95" s="20">
        <f>IF(AND(E95&lt;&gt;"",F95&lt;&gt;"",F95&lt;&gt;0),E95/F95,"")</f>
        <v/>
      </c>
    </row>
    <row r="96">
      <c r="A96" s="71" t="n"/>
      <c r="B96" s="8" t="n"/>
      <c r="C96" s="8" t="n"/>
      <c r="D96" s="14" t="n"/>
      <c r="E96" s="14" t="n"/>
      <c r="F96" s="14" t="n"/>
      <c r="G96" s="20">
        <f>IF(AND(E96&lt;&gt;"",F96&lt;&gt;"",F96&lt;&gt;0),E96/F96,"")</f>
        <v/>
      </c>
    </row>
    <row r="97">
      <c r="A97" s="71" t="n"/>
      <c r="B97" s="8" t="n"/>
      <c r="C97" s="8" t="n"/>
      <c r="D97" s="14" t="n"/>
      <c r="E97" s="14" t="n"/>
      <c r="F97" s="14" t="n"/>
      <c r="G97" s="20">
        <f>IF(AND(E97&lt;&gt;"",F97&lt;&gt;"",F97&lt;&gt;0),E97/F97,"")</f>
        <v/>
      </c>
    </row>
    <row r="98">
      <c r="A98" s="71" t="n"/>
      <c r="B98" s="8" t="n"/>
      <c r="C98" s="8" t="n"/>
      <c r="D98" s="14" t="n"/>
      <c r="E98" s="14" t="n"/>
      <c r="F98" s="14" t="n"/>
      <c r="G98" s="20">
        <f>IF(AND(E98&lt;&gt;"",F98&lt;&gt;"",F98&lt;&gt;0),E98/F98,"")</f>
        <v/>
      </c>
    </row>
    <row r="99">
      <c r="A99" s="71" t="n"/>
      <c r="B99" s="8" t="n"/>
      <c r="C99" s="8" t="n"/>
      <c r="D99" s="14" t="n"/>
      <c r="E99" s="14" t="n"/>
      <c r="F99" s="14" t="n"/>
      <c r="G99" s="20">
        <f>IF(AND(E99&lt;&gt;"",F99&lt;&gt;"",F99&lt;&gt;0),E99/F99,"")</f>
        <v/>
      </c>
    </row>
    <row r="100">
      <c r="A100" s="71" t="n"/>
      <c r="B100" s="8" t="n"/>
      <c r="C100" s="8" t="n"/>
      <c r="D100" s="14" t="n"/>
      <c r="E100" s="14" t="n"/>
      <c r="F100" s="14" t="n"/>
      <c r="G100" s="20">
        <f>IF(AND(E100&lt;&gt;"",F100&lt;&gt;"",F100&lt;&gt;0),E100/F100,"")</f>
        <v/>
      </c>
    </row>
    <row r="101">
      <c r="A101" s="71" t="n"/>
      <c r="B101" s="8" t="n"/>
      <c r="C101" s="8" t="n"/>
      <c r="D101" s="14" t="n"/>
      <c r="E101" s="14" t="n"/>
      <c r="F101" s="14" t="n"/>
      <c r="G101" s="20">
        <f>IF(AND(E101&lt;&gt;"",F101&lt;&gt;"",F101&lt;&gt;0),E101/F101,"")</f>
        <v/>
      </c>
    </row>
    <row r="102">
      <c r="A102" s="71" t="n"/>
      <c r="B102" s="8" t="n"/>
      <c r="C102" s="8" t="n"/>
      <c r="D102" s="14" t="n"/>
      <c r="E102" s="14" t="n"/>
      <c r="F102" s="14" t="n"/>
      <c r="G102" s="20">
        <f>IF(AND(E102&lt;&gt;"",F102&lt;&gt;"",F102&lt;&gt;0),E102/F102,"")</f>
        <v/>
      </c>
    </row>
    <row r="103">
      <c r="A103" s="71" t="n"/>
      <c r="B103" s="8" t="n"/>
      <c r="C103" s="8" t="n"/>
      <c r="D103" s="14" t="n"/>
      <c r="E103" s="14" t="n"/>
      <c r="F103" s="14" t="n"/>
      <c r="G103" s="20">
        <f>IF(AND(E103&lt;&gt;"",F103&lt;&gt;"",F103&lt;&gt;0),E103/F103,"")</f>
        <v/>
      </c>
    </row>
    <row r="104">
      <c r="A104" s="71" t="n"/>
      <c r="B104" s="8" t="n"/>
      <c r="C104" s="8" t="n"/>
      <c r="D104" s="14" t="n"/>
      <c r="E104" s="14" t="n"/>
      <c r="F104" s="14" t="n"/>
      <c r="G104" s="20">
        <f>IF(AND(E104&lt;&gt;"",F104&lt;&gt;"",F104&lt;&gt;0),E104/F104,"")</f>
        <v/>
      </c>
    </row>
    <row r="105">
      <c r="A105" s="71" t="n"/>
      <c r="B105" s="8" t="n"/>
      <c r="C105" s="8" t="n"/>
      <c r="D105" s="14" t="n"/>
      <c r="E105" s="14" t="n"/>
      <c r="F105" s="14" t="n"/>
      <c r="G105" s="20">
        <f>IF(AND(E105&lt;&gt;"",F105&lt;&gt;"",F105&lt;&gt;0),E105/F105,"")</f>
        <v/>
      </c>
    </row>
    <row r="106">
      <c r="A106" s="71" t="n"/>
      <c r="B106" s="8" t="n"/>
      <c r="C106" s="8" t="n"/>
      <c r="D106" s="14" t="n"/>
      <c r="E106" s="14" t="n"/>
      <c r="F106" s="14" t="n"/>
      <c r="G106" s="20">
        <f>IF(AND(E106&lt;&gt;"",F106&lt;&gt;"",F106&lt;&gt;0),E106/F106,"")</f>
        <v/>
      </c>
    </row>
    <row r="107">
      <c r="A107" s="71" t="n"/>
      <c r="B107" s="8" t="n"/>
      <c r="C107" s="8" t="n"/>
      <c r="D107" s="14" t="n"/>
      <c r="E107" s="14" t="n"/>
      <c r="F107" s="14" t="n"/>
      <c r="G107" s="20">
        <f>IF(AND(E107&lt;&gt;"",F107&lt;&gt;"",F107&lt;&gt;0),E107/F107,"")</f>
        <v/>
      </c>
    </row>
    <row r="108">
      <c r="A108" s="71" t="n"/>
      <c r="B108" s="8" t="n"/>
      <c r="C108" s="8" t="n"/>
      <c r="D108" s="14" t="n"/>
      <c r="E108" s="14" t="n"/>
      <c r="F108" s="14" t="n"/>
      <c r="G108" s="20">
        <f>IF(AND(E108&lt;&gt;"",F108&lt;&gt;"",F108&lt;&gt;0),E108/F108,"")</f>
        <v/>
      </c>
    </row>
    <row r="109">
      <c r="A109" s="71" t="n"/>
      <c r="B109" s="8" t="n"/>
      <c r="C109" s="8" t="n"/>
      <c r="D109" s="14" t="n"/>
      <c r="E109" s="14" t="n"/>
      <c r="F109" s="14" t="n"/>
      <c r="G109" s="20">
        <f>IF(AND(E109&lt;&gt;"",F109&lt;&gt;"",F109&lt;&gt;0),E109/F109,"")</f>
        <v/>
      </c>
    </row>
    <row r="110">
      <c r="A110" s="71" t="n"/>
      <c r="B110" s="8" t="n"/>
      <c r="C110" s="8" t="n"/>
      <c r="D110" s="14" t="n"/>
      <c r="E110" s="14" t="n"/>
      <c r="F110" s="14" t="n"/>
      <c r="G110" s="20">
        <f>IF(AND(E110&lt;&gt;"",F110&lt;&gt;"",F110&lt;&gt;0),E110/F110,"")</f>
        <v/>
      </c>
    </row>
    <row r="111">
      <c r="A111" s="71" t="n"/>
      <c r="B111" s="8" t="n"/>
      <c r="C111" s="8" t="n"/>
      <c r="D111" s="14" t="n"/>
      <c r="E111" s="14" t="n"/>
      <c r="F111" s="14" t="n"/>
      <c r="G111" s="20">
        <f>IF(AND(E111&lt;&gt;"",F111&lt;&gt;"",F111&lt;&gt;0),E111/F111,"")</f>
        <v/>
      </c>
    </row>
    <row r="112">
      <c r="A112" s="71" t="n"/>
      <c r="B112" s="8" t="n"/>
      <c r="C112" s="8" t="n"/>
      <c r="D112" s="14" t="n"/>
      <c r="E112" s="14" t="n"/>
      <c r="F112" s="14" t="n"/>
      <c r="G112" s="20">
        <f>IF(AND(E112&lt;&gt;"",F112&lt;&gt;"",F112&lt;&gt;0),E112/F112,"")</f>
        <v/>
      </c>
    </row>
    <row r="113">
      <c r="A113" s="71" t="n"/>
      <c r="B113" s="8" t="n"/>
      <c r="C113" s="8" t="n"/>
      <c r="D113" s="14" t="n"/>
      <c r="E113" s="14" t="n"/>
      <c r="F113" s="14" t="n"/>
      <c r="G113" s="20">
        <f>IF(AND(E113&lt;&gt;"",F113&lt;&gt;"",F113&lt;&gt;0),E113/F113,"")</f>
        <v/>
      </c>
    </row>
    <row r="114">
      <c r="A114" s="71" t="n"/>
      <c r="B114" s="8" t="n"/>
      <c r="C114" s="8" t="n"/>
      <c r="D114" s="14" t="n"/>
      <c r="E114" s="14" t="n"/>
      <c r="F114" s="14" t="n"/>
      <c r="G114" s="20">
        <f>IF(AND(E114&lt;&gt;"",F114&lt;&gt;"",F114&lt;&gt;0),E114/F114,"")</f>
        <v/>
      </c>
    </row>
    <row r="115">
      <c r="A115" s="71" t="n"/>
      <c r="B115" s="8" t="n"/>
      <c r="C115" s="8" t="n"/>
      <c r="D115" s="14" t="n"/>
      <c r="E115" s="14" t="n"/>
      <c r="F115" s="14" t="n"/>
      <c r="G115" s="20">
        <f>IF(AND(E115&lt;&gt;"",F115&lt;&gt;"",F115&lt;&gt;0),E115/F115,"")</f>
        <v/>
      </c>
    </row>
    <row r="116">
      <c r="A116" s="71" t="n"/>
      <c r="B116" s="8" t="n"/>
      <c r="C116" s="8" t="n"/>
      <c r="D116" s="14" t="n"/>
      <c r="E116" s="14" t="n"/>
      <c r="F116" s="14" t="n"/>
      <c r="G116" s="20">
        <f>IF(AND(E116&lt;&gt;"",F116&lt;&gt;"",F116&lt;&gt;0),E116/F116,"")</f>
        <v/>
      </c>
    </row>
    <row r="117">
      <c r="A117" s="71" t="n"/>
      <c r="B117" s="8" t="n"/>
      <c r="C117" s="8" t="n"/>
      <c r="D117" s="14" t="n"/>
      <c r="E117" s="14" t="n"/>
      <c r="F117" s="14" t="n"/>
      <c r="G117" s="20">
        <f>IF(AND(E117&lt;&gt;"",F117&lt;&gt;"",F117&lt;&gt;0),E117/F117,"")</f>
        <v/>
      </c>
    </row>
    <row r="118">
      <c r="A118" s="71" t="n"/>
      <c r="B118" s="8" t="n"/>
      <c r="C118" s="8" t="n"/>
      <c r="D118" s="14" t="n"/>
      <c r="E118" s="14" t="n"/>
      <c r="F118" s="14" t="n"/>
      <c r="G118" s="20">
        <f>IF(AND(E118&lt;&gt;"",F118&lt;&gt;"",F118&lt;&gt;0),E118/F118,"")</f>
        <v/>
      </c>
    </row>
    <row r="119">
      <c r="A119" s="71" t="n"/>
      <c r="B119" s="8" t="n"/>
      <c r="C119" s="8" t="n"/>
      <c r="D119" s="14" t="n"/>
      <c r="E119" s="14" t="n"/>
      <c r="F119" s="14" t="n"/>
      <c r="G119" s="20">
        <f>IF(AND(E119&lt;&gt;"",F119&lt;&gt;"",F119&lt;&gt;0),E119/F119,"")</f>
        <v/>
      </c>
    </row>
    <row r="120">
      <c r="A120" s="71" t="n"/>
      <c r="B120" s="8" t="n"/>
      <c r="C120" s="8" t="n"/>
      <c r="D120" s="14" t="n"/>
      <c r="E120" s="14" t="n"/>
      <c r="F120" s="14" t="n"/>
      <c r="G120" s="20">
        <f>IF(AND(E120&lt;&gt;"",F120&lt;&gt;"",F120&lt;&gt;0),E120/F120,"")</f>
        <v/>
      </c>
    </row>
    <row r="121">
      <c r="A121" s="71" t="n"/>
      <c r="B121" s="8" t="n"/>
      <c r="C121" s="8" t="n"/>
      <c r="D121" s="14" t="n"/>
      <c r="E121" s="14" t="n"/>
      <c r="F121" s="14" t="n"/>
      <c r="G121" s="20">
        <f>IF(AND(E121&lt;&gt;"",F121&lt;&gt;"",F121&lt;&gt;0),E121/F121,"")</f>
        <v/>
      </c>
    </row>
    <row r="122">
      <c r="A122" s="71" t="n"/>
      <c r="B122" s="8" t="n"/>
      <c r="C122" s="8" t="n"/>
      <c r="D122" s="14" t="n"/>
      <c r="E122" s="14" t="n"/>
      <c r="F122" s="14" t="n"/>
      <c r="G122" s="20">
        <f>IF(AND(E122&lt;&gt;"",F122&lt;&gt;"",F122&lt;&gt;0),E122/F122,"")</f>
        <v/>
      </c>
    </row>
    <row r="123">
      <c r="A123" s="71" t="n"/>
      <c r="B123" s="8" t="n"/>
      <c r="C123" s="8" t="n"/>
      <c r="D123" s="14" t="n"/>
      <c r="E123" s="14" t="n"/>
      <c r="F123" s="14" t="n"/>
      <c r="G123" s="20">
        <f>IF(AND(E123&lt;&gt;"",F123&lt;&gt;"",F123&lt;&gt;0),E123/F123,"")</f>
        <v/>
      </c>
    </row>
    <row r="124">
      <c r="A124" s="71" t="n"/>
      <c r="B124" s="8" t="n"/>
      <c r="C124" s="8" t="n"/>
      <c r="D124" s="14" t="n"/>
      <c r="E124" s="14" t="n"/>
      <c r="F124" s="14" t="n"/>
      <c r="G124" s="20">
        <f>IF(AND(E124&lt;&gt;"",F124&lt;&gt;"",F124&lt;&gt;0),E124/F124,"")</f>
        <v/>
      </c>
    </row>
    <row r="125">
      <c r="A125" s="71" t="n"/>
      <c r="B125" s="8" t="n"/>
      <c r="C125" s="8" t="n"/>
      <c r="D125" s="14" t="n"/>
      <c r="E125" s="14" t="n"/>
      <c r="F125" s="14" t="n"/>
      <c r="G125" s="20">
        <f>IF(AND(E125&lt;&gt;"",F125&lt;&gt;"",F125&lt;&gt;0),E125/F125,"")</f>
        <v/>
      </c>
    </row>
    <row r="126">
      <c r="A126" s="71" t="n"/>
      <c r="B126" s="8" t="n"/>
      <c r="C126" s="8" t="n"/>
      <c r="D126" s="14" t="n"/>
      <c r="E126" s="14" t="n"/>
      <c r="F126" s="14" t="n"/>
      <c r="G126" s="20">
        <f>IF(AND(E126&lt;&gt;"",F126&lt;&gt;"",F126&lt;&gt;0),E126/F126,"")</f>
        <v/>
      </c>
    </row>
    <row r="127">
      <c r="A127" s="71" t="n"/>
      <c r="B127" s="8" t="n"/>
      <c r="C127" s="8" t="n"/>
      <c r="D127" s="14" t="n"/>
      <c r="E127" s="14" t="n"/>
      <c r="F127" s="14" t="n"/>
      <c r="G127" s="20">
        <f>IF(AND(E127&lt;&gt;"",F127&lt;&gt;"",F127&lt;&gt;0),E127/F127,"")</f>
        <v/>
      </c>
    </row>
    <row r="128">
      <c r="A128" s="71" t="n"/>
      <c r="B128" s="8" t="n"/>
      <c r="C128" s="8" t="n"/>
      <c r="D128" s="14" t="n"/>
      <c r="E128" s="14" t="n"/>
      <c r="F128" s="14" t="n"/>
      <c r="G128" s="20">
        <f>IF(AND(E128&lt;&gt;"",F128&lt;&gt;"",F128&lt;&gt;0),E128/F128,"")</f>
        <v/>
      </c>
    </row>
    <row r="129">
      <c r="A129" s="71" t="n"/>
      <c r="B129" s="8" t="n"/>
      <c r="C129" s="8" t="n"/>
      <c r="D129" s="14" t="n"/>
      <c r="E129" s="14" t="n"/>
      <c r="F129" s="14" t="n"/>
      <c r="G129" s="20">
        <f>IF(AND(E129&lt;&gt;"",F129&lt;&gt;"",F129&lt;&gt;0),E129/F129,"")</f>
        <v/>
      </c>
    </row>
    <row r="130">
      <c r="A130" s="71" t="n"/>
      <c r="B130" s="8" t="n"/>
      <c r="C130" s="8" t="n"/>
      <c r="D130" s="14" t="n"/>
      <c r="E130" s="14" t="n"/>
      <c r="F130" s="14" t="n"/>
      <c r="G130" s="20">
        <f>IF(AND(E130&lt;&gt;"",F130&lt;&gt;"",F130&lt;&gt;0),E130/F130,"")</f>
        <v/>
      </c>
    </row>
    <row r="131">
      <c r="A131" s="71" t="n"/>
      <c r="B131" s="8" t="n"/>
      <c r="C131" s="8" t="n"/>
      <c r="D131" s="14" t="n"/>
      <c r="E131" s="14" t="n"/>
      <c r="F131" s="14" t="n"/>
      <c r="G131" s="20">
        <f>IF(AND(E131&lt;&gt;"",F131&lt;&gt;"",F131&lt;&gt;0),E131/F131,"")</f>
        <v/>
      </c>
    </row>
    <row r="132">
      <c r="A132" s="71" t="n"/>
      <c r="B132" s="8" t="n"/>
      <c r="C132" s="8" t="n"/>
      <c r="D132" s="14" t="n"/>
      <c r="E132" s="14" t="n"/>
      <c r="F132" s="14" t="n"/>
      <c r="G132" s="20">
        <f>IF(AND(E132&lt;&gt;"",F132&lt;&gt;"",F132&lt;&gt;0),E132/F132,"")</f>
        <v/>
      </c>
    </row>
    <row r="133">
      <c r="A133" s="71" t="n"/>
      <c r="B133" s="8" t="n"/>
      <c r="C133" s="8" t="n"/>
      <c r="D133" s="14" t="n"/>
      <c r="E133" s="14" t="n"/>
      <c r="F133" s="14" t="n"/>
      <c r="G133" s="20">
        <f>IF(AND(E133&lt;&gt;"",F133&lt;&gt;"",F133&lt;&gt;0),E133/F133,"")</f>
        <v/>
      </c>
    </row>
    <row r="134">
      <c r="A134" s="71" t="n"/>
      <c r="B134" s="8" t="n"/>
      <c r="C134" s="8" t="n"/>
      <c r="D134" s="14" t="n"/>
      <c r="E134" s="14" t="n"/>
      <c r="F134" s="14" t="n"/>
      <c r="G134" s="20">
        <f>IF(AND(E134&lt;&gt;"",F134&lt;&gt;"",F134&lt;&gt;0),E134/F134,"")</f>
        <v/>
      </c>
    </row>
    <row r="135">
      <c r="A135" s="71" t="n"/>
      <c r="B135" s="8" t="n"/>
      <c r="C135" s="8" t="n"/>
      <c r="D135" s="14" t="n"/>
      <c r="E135" s="14" t="n"/>
      <c r="F135" s="14" t="n"/>
      <c r="G135" s="20">
        <f>IF(AND(E135&lt;&gt;"",F135&lt;&gt;"",F135&lt;&gt;0),E135/F135,"")</f>
        <v/>
      </c>
    </row>
    <row r="136">
      <c r="A136" s="71" t="n"/>
      <c r="B136" s="8" t="n"/>
      <c r="C136" s="8" t="n"/>
      <c r="D136" s="14" t="n"/>
      <c r="E136" s="14" t="n"/>
      <c r="F136" s="14" t="n"/>
      <c r="G136" s="20">
        <f>IF(AND(E136&lt;&gt;"",F136&lt;&gt;"",F136&lt;&gt;0),E136/F136,"")</f>
        <v/>
      </c>
    </row>
    <row r="137">
      <c r="A137" s="71" t="n"/>
      <c r="B137" s="8" t="n"/>
      <c r="C137" s="8" t="n"/>
      <c r="D137" s="14" t="n"/>
      <c r="E137" s="14" t="n"/>
      <c r="F137" s="14" t="n"/>
      <c r="G137" s="20">
        <f>IF(AND(E137&lt;&gt;"",F137&lt;&gt;"",F137&lt;&gt;0),E137/F137,"")</f>
        <v/>
      </c>
    </row>
    <row r="138">
      <c r="A138" s="71" t="n"/>
      <c r="B138" s="8" t="n"/>
      <c r="C138" s="8" t="n"/>
      <c r="D138" s="14" t="n"/>
      <c r="E138" s="14" t="n"/>
      <c r="F138" s="14" t="n"/>
      <c r="G138" s="20">
        <f>IF(AND(E138&lt;&gt;"",F138&lt;&gt;"",F138&lt;&gt;0),E138/F138,"")</f>
        <v/>
      </c>
    </row>
    <row r="139">
      <c r="A139" s="71" t="n"/>
      <c r="B139" s="8" t="n"/>
      <c r="C139" s="8" t="n"/>
      <c r="D139" s="14" t="n"/>
      <c r="E139" s="14" t="n"/>
      <c r="F139" s="14" t="n"/>
      <c r="G139" s="20">
        <f>IF(AND(E139&lt;&gt;"",F139&lt;&gt;"",F139&lt;&gt;0),E139/F139,"")</f>
        <v/>
      </c>
    </row>
    <row r="140">
      <c r="A140" s="71" t="n"/>
      <c r="B140" s="8" t="n"/>
      <c r="C140" s="8" t="n"/>
      <c r="D140" s="14" t="n"/>
      <c r="E140" s="14" t="n"/>
      <c r="F140" s="14" t="n"/>
      <c r="G140" s="20">
        <f>IF(AND(E140&lt;&gt;"",F140&lt;&gt;"",F140&lt;&gt;0),E140/F140,"")</f>
        <v/>
      </c>
    </row>
    <row r="141">
      <c r="A141" s="71" t="n"/>
      <c r="B141" s="8" t="n"/>
      <c r="C141" s="8" t="n"/>
      <c r="D141" s="14" t="n"/>
      <c r="E141" s="14" t="n"/>
      <c r="F141" s="14" t="n"/>
      <c r="G141" s="20">
        <f>IF(AND(E141&lt;&gt;"",F141&lt;&gt;"",F141&lt;&gt;0),E141/F141,"")</f>
        <v/>
      </c>
    </row>
    <row r="142">
      <c r="A142" s="71" t="n"/>
      <c r="B142" s="8" t="n"/>
      <c r="C142" s="8" t="n"/>
      <c r="D142" s="14" t="n"/>
      <c r="E142" s="14" t="n"/>
      <c r="F142" s="14" t="n"/>
      <c r="G142" s="20">
        <f>IF(AND(E142&lt;&gt;"",F142&lt;&gt;"",F142&lt;&gt;0),E142/F142,"")</f>
        <v/>
      </c>
    </row>
    <row r="143">
      <c r="A143" s="71" t="n"/>
      <c r="B143" s="8" t="n"/>
      <c r="C143" s="8" t="n"/>
      <c r="D143" s="14" t="n"/>
      <c r="E143" s="14" t="n"/>
      <c r="F143" s="14" t="n"/>
      <c r="G143" s="20">
        <f>IF(AND(E143&lt;&gt;"",F143&lt;&gt;"",F143&lt;&gt;0),E143/F143,"")</f>
        <v/>
      </c>
    </row>
    <row r="144">
      <c r="A144" s="71" t="n"/>
      <c r="B144" s="8" t="n"/>
      <c r="C144" s="8" t="n"/>
      <c r="D144" s="14" t="n"/>
      <c r="E144" s="14" t="n"/>
      <c r="F144" s="14" t="n"/>
      <c r="G144" s="20">
        <f>IF(AND(E144&lt;&gt;"",F144&lt;&gt;"",F144&lt;&gt;0),E144/F144,"")</f>
        <v/>
      </c>
    </row>
    <row r="145">
      <c r="A145" s="71" t="n"/>
      <c r="B145" s="8" t="n"/>
      <c r="C145" s="8" t="n"/>
      <c r="D145" s="14" t="n"/>
      <c r="E145" s="14" t="n"/>
      <c r="F145" s="14" t="n"/>
      <c r="G145" s="20">
        <f>IF(AND(E145&lt;&gt;"",F145&lt;&gt;"",F145&lt;&gt;0),E145/F145,"")</f>
        <v/>
      </c>
    </row>
    <row r="146">
      <c r="A146" s="71" t="n"/>
      <c r="B146" s="8" t="n"/>
      <c r="C146" s="8" t="n"/>
      <c r="D146" s="14" t="n"/>
      <c r="E146" s="14" t="n"/>
      <c r="F146" s="14" t="n"/>
      <c r="G146" s="20">
        <f>IF(AND(E146&lt;&gt;"",F146&lt;&gt;"",F146&lt;&gt;0),E146/F146,"")</f>
        <v/>
      </c>
    </row>
    <row r="147">
      <c r="A147" s="71" t="n"/>
      <c r="B147" s="8" t="n"/>
      <c r="C147" s="8" t="n"/>
      <c r="D147" s="14" t="n"/>
      <c r="E147" s="14" t="n"/>
      <c r="F147" s="14" t="n"/>
      <c r="G147" s="20">
        <f>IF(AND(E147&lt;&gt;"",F147&lt;&gt;"",F147&lt;&gt;0),E147/F147,"")</f>
        <v/>
      </c>
    </row>
    <row r="148">
      <c r="A148" s="71" t="n"/>
      <c r="B148" s="8" t="n"/>
      <c r="C148" s="8" t="n"/>
      <c r="D148" s="14" t="n"/>
      <c r="E148" s="14" t="n"/>
      <c r="F148" s="14" t="n"/>
      <c r="G148" s="20">
        <f>IF(AND(E148&lt;&gt;"",F148&lt;&gt;"",F148&lt;&gt;0),E148/F148,"")</f>
        <v/>
      </c>
    </row>
    <row r="149">
      <c r="A149" s="71" t="n"/>
      <c r="B149" s="8" t="n"/>
      <c r="C149" s="8" t="n"/>
      <c r="D149" s="14" t="n"/>
      <c r="E149" s="14" t="n"/>
      <c r="F149" s="14" t="n"/>
      <c r="G149" s="20">
        <f>IF(AND(E149&lt;&gt;"",F149&lt;&gt;"",F149&lt;&gt;0),E149/F149,"")</f>
        <v/>
      </c>
    </row>
    <row r="150">
      <c r="A150" s="71" t="n"/>
      <c r="B150" s="8" t="n"/>
      <c r="C150" s="8" t="n"/>
      <c r="D150" s="14" t="n"/>
      <c r="E150" s="14" t="n"/>
      <c r="F150" s="14" t="n"/>
      <c r="G150" s="20">
        <f>IF(AND(E150&lt;&gt;"",F150&lt;&gt;"",F150&lt;&gt;0),E150/F150,"")</f>
        <v/>
      </c>
    </row>
    <row r="151">
      <c r="A151" s="71" t="n"/>
      <c r="B151" s="8" t="n"/>
      <c r="C151" s="8" t="n"/>
      <c r="D151" s="14" t="n"/>
      <c r="E151" s="14" t="n"/>
      <c r="F151" s="14" t="n"/>
      <c r="G151" s="20">
        <f>IF(AND(E151&lt;&gt;"",F151&lt;&gt;"",F151&lt;&gt;0),E151/F151,"")</f>
        <v/>
      </c>
    </row>
    <row r="152">
      <c r="A152" s="71" t="n"/>
      <c r="B152" s="8" t="n"/>
      <c r="C152" s="8" t="n"/>
      <c r="D152" s="14" t="n"/>
      <c r="E152" s="14" t="n"/>
      <c r="F152" s="14" t="n"/>
      <c r="G152" s="20">
        <f>IF(AND(E152&lt;&gt;"",F152&lt;&gt;"",F152&lt;&gt;0),E152/F152,"")</f>
        <v/>
      </c>
    </row>
    <row r="153">
      <c r="A153" s="71" t="n"/>
      <c r="B153" s="8" t="n"/>
      <c r="C153" s="8" t="n"/>
      <c r="D153" s="14" t="n"/>
      <c r="E153" s="14" t="n"/>
      <c r="F153" s="14" t="n"/>
      <c r="G153" s="20">
        <f>IF(AND(E153&lt;&gt;"",F153&lt;&gt;"",F153&lt;&gt;0),E153/F153,"")</f>
        <v/>
      </c>
    </row>
    <row r="154">
      <c r="A154" s="71" t="n"/>
      <c r="B154" s="8" t="n"/>
      <c r="C154" s="8" t="n"/>
      <c r="D154" s="14" t="n"/>
      <c r="E154" s="14" t="n"/>
      <c r="F154" s="14" t="n"/>
      <c r="G154" s="20">
        <f>IF(AND(E154&lt;&gt;"",F154&lt;&gt;"",F154&lt;&gt;0),E154/F154,"")</f>
        <v/>
      </c>
    </row>
    <row r="155">
      <c r="A155" s="71" t="n"/>
      <c r="B155" s="8" t="n"/>
      <c r="C155" s="8" t="n"/>
      <c r="D155" s="14" t="n"/>
      <c r="E155" s="14" t="n"/>
      <c r="F155" s="14" t="n"/>
      <c r="G155" s="20">
        <f>IF(AND(E155&lt;&gt;"",F155&lt;&gt;"",F155&lt;&gt;0),E155/F155,"")</f>
        <v/>
      </c>
    </row>
    <row r="156">
      <c r="A156" s="71" t="n"/>
      <c r="B156" s="8" t="n"/>
      <c r="C156" s="8" t="n"/>
      <c r="D156" s="14" t="n"/>
      <c r="E156" s="14" t="n"/>
      <c r="F156" s="14" t="n"/>
      <c r="G156" s="20">
        <f>IF(AND(E156&lt;&gt;"",F156&lt;&gt;"",F156&lt;&gt;0),E156/F156,"")</f>
        <v/>
      </c>
    </row>
    <row r="157">
      <c r="A157" s="71" t="n"/>
      <c r="B157" s="8" t="n"/>
      <c r="C157" s="8" t="n"/>
      <c r="D157" s="14" t="n"/>
      <c r="E157" s="14" t="n"/>
      <c r="F157" s="14" t="n"/>
      <c r="G157" s="20">
        <f>IF(AND(E157&lt;&gt;"",F157&lt;&gt;"",F157&lt;&gt;0),E157/F157,"")</f>
        <v/>
      </c>
    </row>
    <row r="158">
      <c r="A158" s="71" t="n"/>
      <c r="B158" s="8" t="n"/>
      <c r="C158" s="8" t="n"/>
      <c r="D158" s="14" t="n"/>
      <c r="E158" s="14" t="n"/>
      <c r="F158" s="14" t="n"/>
      <c r="G158" s="20">
        <f>IF(AND(E158&lt;&gt;"",F158&lt;&gt;"",F158&lt;&gt;0),E158/F158,"")</f>
        <v/>
      </c>
    </row>
    <row r="159">
      <c r="A159" s="71" t="n"/>
      <c r="B159" s="8" t="n"/>
      <c r="C159" s="8" t="n"/>
      <c r="D159" s="14" t="n"/>
      <c r="E159" s="14" t="n"/>
      <c r="F159" s="14" t="n"/>
      <c r="G159" s="20">
        <f>IF(AND(E159&lt;&gt;"",F159&lt;&gt;"",F159&lt;&gt;0),E159/F159,"")</f>
        <v/>
      </c>
    </row>
    <row r="160">
      <c r="A160" s="71" t="n"/>
      <c r="B160" s="8" t="n"/>
      <c r="C160" s="8" t="n"/>
      <c r="D160" s="14" t="n"/>
      <c r="E160" s="14" t="n"/>
      <c r="F160" s="14" t="n"/>
      <c r="G160" s="20">
        <f>IF(AND(E160&lt;&gt;"",F160&lt;&gt;"",F160&lt;&gt;0),E160/F160,"")</f>
        <v/>
      </c>
    </row>
    <row r="161">
      <c r="A161" s="71" t="n"/>
      <c r="B161" s="8" t="n"/>
      <c r="C161" s="8" t="n"/>
      <c r="D161" s="14" t="n"/>
      <c r="E161" s="14" t="n"/>
      <c r="F161" s="14" t="n"/>
      <c r="G161" s="20">
        <f>IF(AND(E161&lt;&gt;"",F161&lt;&gt;"",F161&lt;&gt;0),E161/F161,"")</f>
        <v/>
      </c>
    </row>
    <row r="162">
      <c r="A162" s="71" t="n"/>
      <c r="B162" s="8" t="n"/>
      <c r="C162" s="8" t="n"/>
      <c r="D162" s="14" t="n"/>
      <c r="E162" s="14" t="n"/>
      <c r="F162" s="14" t="n"/>
      <c r="G162" s="20">
        <f>IF(AND(E162&lt;&gt;"",F162&lt;&gt;"",F162&lt;&gt;0),E162/F162,"")</f>
        <v/>
      </c>
    </row>
    <row r="163">
      <c r="A163" s="71" t="n"/>
      <c r="B163" s="8" t="n"/>
      <c r="C163" s="8" t="n"/>
      <c r="D163" s="14" t="n"/>
      <c r="E163" s="14" t="n"/>
      <c r="F163" s="14" t="n"/>
      <c r="G163" s="20">
        <f>IF(AND(E163&lt;&gt;"",F163&lt;&gt;"",F163&lt;&gt;0),E163/F163,"")</f>
        <v/>
      </c>
    </row>
    <row r="164">
      <c r="A164" s="71" t="n"/>
      <c r="B164" s="8" t="n"/>
      <c r="C164" s="8" t="n"/>
      <c r="D164" s="14" t="n"/>
      <c r="E164" s="14" t="n"/>
      <c r="F164" s="14" t="n"/>
      <c r="G164" s="20">
        <f>IF(AND(E164&lt;&gt;"",F164&lt;&gt;"",F164&lt;&gt;0),E164/F164,"")</f>
        <v/>
      </c>
    </row>
    <row r="165">
      <c r="A165" s="71" t="n"/>
      <c r="B165" s="8" t="n"/>
      <c r="C165" s="8" t="n"/>
      <c r="D165" s="14" t="n"/>
      <c r="E165" s="14" t="n"/>
      <c r="F165" s="14" t="n"/>
      <c r="G165" s="20">
        <f>IF(AND(E165&lt;&gt;"",F165&lt;&gt;"",F165&lt;&gt;0),E165/F165,"")</f>
        <v/>
      </c>
    </row>
    <row r="166">
      <c r="A166" s="71" t="n"/>
      <c r="B166" s="8" t="n"/>
      <c r="C166" s="8" t="n"/>
      <c r="D166" s="14" t="n"/>
      <c r="E166" s="14" t="n"/>
      <c r="F166" s="14" t="n"/>
      <c r="G166" s="20">
        <f>IF(AND(E166&lt;&gt;"",F166&lt;&gt;"",F166&lt;&gt;0),E166/F166,"")</f>
        <v/>
      </c>
    </row>
    <row r="167">
      <c r="A167" s="71" t="n"/>
      <c r="B167" s="8" t="n"/>
      <c r="C167" s="8" t="n"/>
      <c r="D167" s="14" t="n"/>
      <c r="E167" s="14" t="n"/>
      <c r="F167" s="14" t="n"/>
      <c r="G167" s="20">
        <f>IF(AND(E167&lt;&gt;"",F167&lt;&gt;"",F167&lt;&gt;0),E167/F167,"")</f>
        <v/>
      </c>
    </row>
    <row r="168">
      <c r="A168" s="71" t="n"/>
      <c r="B168" s="8" t="n"/>
      <c r="C168" s="8" t="n"/>
      <c r="D168" s="14" t="n"/>
      <c r="E168" s="14" t="n"/>
      <c r="F168" s="14" t="n"/>
      <c r="G168" s="20">
        <f>IF(AND(E168&lt;&gt;"",F168&lt;&gt;"",F168&lt;&gt;0),E168/F168,"")</f>
        <v/>
      </c>
    </row>
    <row r="169">
      <c r="A169" s="71" t="n"/>
      <c r="B169" s="8" t="n"/>
      <c r="C169" s="8" t="n"/>
      <c r="D169" s="14" t="n"/>
      <c r="E169" s="14" t="n"/>
      <c r="F169" s="14" t="n"/>
      <c r="G169" s="20">
        <f>IF(AND(E169&lt;&gt;"",F169&lt;&gt;"",F169&lt;&gt;0),E169/F169,"")</f>
        <v/>
      </c>
    </row>
    <row r="170">
      <c r="A170" s="71" t="n"/>
      <c r="B170" s="8" t="n"/>
      <c r="C170" s="8" t="n"/>
      <c r="D170" s="14" t="n"/>
      <c r="E170" s="14" t="n"/>
      <c r="F170" s="14" t="n"/>
      <c r="G170" s="20">
        <f>IF(AND(E170&lt;&gt;"",F170&lt;&gt;"",F170&lt;&gt;0),E170/F170,"")</f>
        <v/>
      </c>
    </row>
    <row r="171">
      <c r="A171" s="71" t="n"/>
      <c r="B171" s="8" t="n"/>
      <c r="C171" s="8" t="n"/>
      <c r="D171" s="14" t="n"/>
      <c r="E171" s="14" t="n"/>
      <c r="F171" s="14" t="n"/>
      <c r="G171" s="20">
        <f>IF(AND(E171&lt;&gt;"",F171&lt;&gt;"",F171&lt;&gt;0),E171/F171,"")</f>
        <v/>
      </c>
    </row>
    <row r="172">
      <c r="A172" s="71" t="n"/>
      <c r="B172" s="8" t="n"/>
      <c r="C172" s="8" t="n"/>
      <c r="D172" s="14" t="n"/>
      <c r="E172" s="14" t="n"/>
      <c r="F172" s="14" t="n"/>
      <c r="G172" s="20">
        <f>IF(AND(E172&lt;&gt;"",F172&lt;&gt;"",F172&lt;&gt;0),E172/F172,"")</f>
        <v/>
      </c>
    </row>
    <row r="173">
      <c r="A173" s="71" t="n"/>
      <c r="B173" s="8" t="n"/>
      <c r="C173" s="8" t="n"/>
      <c r="D173" s="14" t="n"/>
      <c r="E173" s="14" t="n"/>
      <c r="F173" s="14" t="n"/>
      <c r="G173" s="20">
        <f>IF(AND(E173&lt;&gt;"",F173&lt;&gt;"",F173&lt;&gt;0),E173/F173,"")</f>
        <v/>
      </c>
    </row>
    <row r="174">
      <c r="A174" s="71" t="n"/>
      <c r="B174" s="8" t="n"/>
      <c r="C174" s="8" t="n"/>
      <c r="D174" s="14" t="n"/>
      <c r="E174" s="14" t="n"/>
      <c r="F174" s="14" t="n"/>
      <c r="G174" s="20">
        <f>IF(AND(E174&lt;&gt;"",F174&lt;&gt;"",F174&lt;&gt;0),E174/F174,"")</f>
        <v/>
      </c>
    </row>
    <row r="175">
      <c r="A175" s="71" t="n"/>
      <c r="B175" s="8" t="n"/>
      <c r="C175" s="8" t="n"/>
      <c r="D175" s="14" t="n"/>
      <c r="E175" s="14" t="n"/>
      <c r="F175" s="14" t="n"/>
      <c r="G175" s="20">
        <f>IF(AND(E175&lt;&gt;"",F175&lt;&gt;"",F175&lt;&gt;0),E175/F175,"")</f>
        <v/>
      </c>
    </row>
    <row r="176">
      <c r="A176" s="71" t="n"/>
      <c r="B176" s="8" t="n"/>
      <c r="C176" s="8" t="n"/>
      <c r="D176" s="14" t="n"/>
      <c r="E176" s="14" t="n"/>
      <c r="F176" s="14" t="n"/>
      <c r="G176" s="20">
        <f>IF(AND(E176&lt;&gt;"",F176&lt;&gt;"",F176&lt;&gt;0),E176/F176,"")</f>
        <v/>
      </c>
    </row>
    <row r="177">
      <c r="A177" s="71" t="n"/>
      <c r="B177" s="8" t="n"/>
      <c r="C177" s="8" t="n"/>
      <c r="D177" s="14" t="n"/>
      <c r="E177" s="14" t="n"/>
      <c r="F177" s="14" t="n"/>
      <c r="G177" s="20">
        <f>IF(AND(E177&lt;&gt;"",F177&lt;&gt;"",F177&lt;&gt;0),E177/F177,"")</f>
        <v/>
      </c>
    </row>
    <row r="178">
      <c r="A178" s="71" t="n"/>
      <c r="B178" s="8" t="n"/>
      <c r="C178" s="8" t="n"/>
      <c r="D178" s="14" t="n"/>
      <c r="E178" s="14" t="n"/>
      <c r="F178" s="14" t="n"/>
      <c r="G178" s="20">
        <f>IF(AND(E178&lt;&gt;"",F178&lt;&gt;"",F178&lt;&gt;0),E178/F178,"")</f>
        <v/>
      </c>
    </row>
    <row r="179">
      <c r="A179" s="71" t="n"/>
      <c r="B179" s="8" t="n"/>
      <c r="C179" s="8" t="n"/>
      <c r="D179" s="14" t="n"/>
      <c r="E179" s="14" t="n"/>
      <c r="F179" s="14" t="n"/>
      <c r="G179" s="20">
        <f>IF(AND(E179&lt;&gt;"",F179&lt;&gt;"",F179&lt;&gt;0),E179/F179,"")</f>
        <v/>
      </c>
    </row>
    <row r="180">
      <c r="A180" s="71" t="n"/>
      <c r="B180" s="8" t="n"/>
      <c r="C180" s="8" t="n"/>
      <c r="D180" s="14" t="n"/>
      <c r="E180" s="14" t="n"/>
      <c r="F180" s="14" t="n"/>
      <c r="G180" s="20">
        <f>IF(AND(E180&lt;&gt;"",F180&lt;&gt;"",F180&lt;&gt;0),E180/F180,"")</f>
        <v/>
      </c>
    </row>
    <row r="181">
      <c r="A181" s="71" t="n"/>
      <c r="B181" s="8" t="n"/>
      <c r="C181" s="8" t="n"/>
      <c r="D181" s="14" t="n"/>
      <c r="E181" s="14" t="n"/>
      <c r="F181" s="14" t="n"/>
      <c r="G181" s="20">
        <f>IF(AND(E181&lt;&gt;"",F181&lt;&gt;"",F181&lt;&gt;0),E181/F181,"")</f>
        <v/>
      </c>
    </row>
    <row r="182">
      <c r="A182" s="71" t="n"/>
      <c r="B182" s="8" t="n"/>
      <c r="C182" s="8" t="n"/>
      <c r="D182" s="14" t="n"/>
      <c r="E182" s="14" t="n"/>
      <c r="F182" s="14" t="n"/>
      <c r="G182" s="20">
        <f>IF(AND(E182&lt;&gt;"",F182&lt;&gt;"",F182&lt;&gt;0),E182/F182,"")</f>
        <v/>
      </c>
    </row>
    <row r="183">
      <c r="A183" s="71" t="n"/>
      <c r="B183" s="8" t="n"/>
      <c r="C183" s="8" t="n"/>
      <c r="D183" s="14" t="n"/>
      <c r="E183" s="14" t="n"/>
      <c r="F183" s="14" t="n"/>
      <c r="G183" s="20">
        <f>IF(AND(E183&lt;&gt;"",F183&lt;&gt;"",F183&lt;&gt;0),E183/F183,"")</f>
        <v/>
      </c>
    </row>
    <row r="184">
      <c r="A184" s="71" t="n"/>
      <c r="B184" s="8" t="n"/>
      <c r="C184" s="8" t="n"/>
      <c r="D184" s="14" t="n"/>
      <c r="E184" s="14" t="n"/>
      <c r="F184" s="14" t="n"/>
      <c r="G184" s="20">
        <f>IF(AND(E184&lt;&gt;"",F184&lt;&gt;"",F184&lt;&gt;0),E184/F184,"")</f>
        <v/>
      </c>
    </row>
    <row r="185">
      <c r="A185" s="71" t="n"/>
      <c r="B185" s="8" t="n"/>
      <c r="C185" s="8" t="n"/>
      <c r="D185" s="14" t="n"/>
      <c r="E185" s="14" t="n"/>
      <c r="F185" s="14" t="n"/>
      <c r="G185" s="20">
        <f>IF(AND(E185&lt;&gt;"",F185&lt;&gt;"",F185&lt;&gt;0),E185/F185,"")</f>
        <v/>
      </c>
    </row>
    <row r="186">
      <c r="A186" s="71" t="n"/>
      <c r="B186" s="8" t="n"/>
      <c r="C186" s="8" t="n"/>
      <c r="D186" s="14" t="n"/>
      <c r="E186" s="14" t="n"/>
      <c r="F186" s="14" t="n"/>
      <c r="G186" s="20">
        <f>IF(AND(E186&lt;&gt;"",F186&lt;&gt;"",F186&lt;&gt;0),E186/F186,"")</f>
        <v/>
      </c>
    </row>
    <row r="187">
      <c r="A187" s="71" t="n"/>
      <c r="B187" s="8" t="n"/>
      <c r="C187" s="8" t="n"/>
      <c r="D187" s="14" t="n"/>
      <c r="E187" s="14" t="n"/>
      <c r="F187" s="14" t="n"/>
      <c r="G187" s="20">
        <f>IF(AND(E187&lt;&gt;"",F187&lt;&gt;"",F187&lt;&gt;0),E187/F187,"")</f>
        <v/>
      </c>
    </row>
    <row r="188">
      <c r="A188" s="71" t="n"/>
      <c r="B188" s="8" t="n"/>
      <c r="C188" s="8" t="n"/>
      <c r="D188" s="14" t="n"/>
      <c r="E188" s="14" t="n"/>
      <c r="F188" s="14" t="n"/>
      <c r="G188" s="20">
        <f>IF(AND(E188&lt;&gt;"",F188&lt;&gt;"",F188&lt;&gt;0),E188/F188,"")</f>
        <v/>
      </c>
    </row>
    <row r="189">
      <c r="A189" s="71" t="n"/>
      <c r="B189" s="8" t="n"/>
      <c r="C189" s="8" t="n"/>
      <c r="D189" s="14" t="n"/>
      <c r="E189" s="14" t="n"/>
      <c r="F189" s="14" t="n"/>
      <c r="G189" s="20">
        <f>IF(AND(E189&lt;&gt;"",F189&lt;&gt;"",F189&lt;&gt;0),E189/F189,"")</f>
        <v/>
      </c>
    </row>
    <row r="190">
      <c r="A190" s="71" t="n"/>
      <c r="B190" s="8" t="n"/>
      <c r="C190" s="8" t="n"/>
      <c r="D190" s="14" t="n"/>
      <c r="E190" s="14" t="n"/>
      <c r="F190" s="14" t="n"/>
      <c r="G190" s="20">
        <f>IF(AND(E190&lt;&gt;"",F190&lt;&gt;"",F190&lt;&gt;0),E190/F190,"")</f>
        <v/>
      </c>
    </row>
    <row r="191">
      <c r="A191" s="71" t="n"/>
      <c r="B191" s="8" t="n"/>
      <c r="C191" s="8" t="n"/>
      <c r="D191" s="14" t="n"/>
      <c r="E191" s="14" t="n"/>
      <c r="F191" s="14" t="n"/>
      <c r="G191" s="20">
        <f>IF(AND(E191&lt;&gt;"",F191&lt;&gt;"",F191&lt;&gt;0),E191/F191,"")</f>
        <v/>
      </c>
    </row>
    <row r="192">
      <c r="A192" s="71" t="n"/>
      <c r="B192" s="8" t="n"/>
      <c r="C192" s="8" t="n"/>
      <c r="D192" s="14" t="n"/>
      <c r="E192" s="14" t="n"/>
      <c r="F192" s="14" t="n"/>
      <c r="G192" s="20">
        <f>IF(AND(E192&lt;&gt;"",F192&lt;&gt;"",F192&lt;&gt;0),E192/F192,"")</f>
        <v/>
      </c>
    </row>
    <row r="193">
      <c r="A193" s="71" t="n"/>
      <c r="B193" s="8" t="n"/>
      <c r="C193" s="8" t="n"/>
      <c r="D193" s="14" t="n"/>
      <c r="E193" s="14" t="n"/>
      <c r="F193" s="14" t="n"/>
      <c r="G193" s="20">
        <f>IF(AND(E193&lt;&gt;"",F193&lt;&gt;"",F193&lt;&gt;0),E193/F193,"")</f>
        <v/>
      </c>
    </row>
    <row r="194">
      <c r="A194" s="71" t="n"/>
      <c r="B194" s="8" t="n"/>
      <c r="C194" s="8" t="n"/>
      <c r="D194" s="14" t="n"/>
      <c r="E194" s="14" t="n"/>
      <c r="F194" s="14" t="n"/>
      <c r="G194" s="20">
        <f>IF(AND(E194&lt;&gt;"",F194&lt;&gt;"",F194&lt;&gt;0),E194/F194,"")</f>
        <v/>
      </c>
    </row>
    <row r="195">
      <c r="A195" s="71" t="n"/>
      <c r="B195" s="8" t="n"/>
      <c r="C195" s="8" t="n"/>
      <c r="D195" s="14" t="n"/>
      <c r="E195" s="14" t="n"/>
      <c r="F195" s="14" t="n"/>
      <c r="G195" s="20">
        <f>IF(AND(E195&lt;&gt;"",F195&lt;&gt;"",F195&lt;&gt;0),E195/F195,"")</f>
        <v/>
      </c>
    </row>
    <row r="196">
      <c r="A196" s="71" t="n"/>
      <c r="B196" s="8" t="n"/>
      <c r="C196" s="8" t="n"/>
      <c r="D196" s="14" t="n"/>
      <c r="E196" s="14" t="n"/>
      <c r="F196" s="14" t="n"/>
      <c r="G196" s="20">
        <f>IF(AND(E196&lt;&gt;"",F196&lt;&gt;"",F196&lt;&gt;0),E196/F196,"")</f>
        <v/>
      </c>
    </row>
    <row r="197">
      <c r="A197" s="71" t="n"/>
      <c r="B197" s="8" t="n"/>
      <c r="C197" s="8" t="n"/>
      <c r="D197" s="14" t="n"/>
      <c r="E197" s="14" t="n"/>
      <c r="F197" s="14" t="n"/>
      <c r="G197" s="20">
        <f>IF(AND(E197&lt;&gt;"",F197&lt;&gt;"",F197&lt;&gt;0),E197/F197,"")</f>
        <v/>
      </c>
    </row>
    <row r="198">
      <c r="A198" s="71" t="n"/>
      <c r="B198" s="8" t="n"/>
      <c r="C198" s="8" t="n"/>
      <c r="D198" s="14" t="n"/>
      <c r="E198" s="14" t="n"/>
      <c r="F198" s="14" t="n"/>
      <c r="G198" s="20">
        <f>IF(AND(E198&lt;&gt;"",F198&lt;&gt;"",F198&lt;&gt;0),E198/F198,"")</f>
        <v/>
      </c>
    </row>
    <row r="199">
      <c r="A199" s="71" t="n"/>
      <c r="B199" s="8" t="n"/>
      <c r="C199" s="8" t="n"/>
      <c r="D199" s="14" t="n"/>
      <c r="E199" s="14" t="n"/>
      <c r="F199" s="14" t="n"/>
      <c r="G199" s="20">
        <f>IF(AND(E199&lt;&gt;"",F199&lt;&gt;"",F199&lt;&gt;0),E199/F199,"")</f>
        <v/>
      </c>
    </row>
    <row r="200">
      <c r="A200" s="71" t="n"/>
      <c r="B200" s="8" t="n"/>
      <c r="C200" s="8" t="n"/>
      <c r="D200" s="14" t="n"/>
      <c r="E200" s="14" t="n"/>
      <c r="F200" s="14" t="n"/>
      <c r="G200" s="20">
        <f>IF(AND(E200&lt;&gt;"",F200&lt;&gt;"",F200&lt;&gt;0),E200/F200,"")</f>
        <v/>
      </c>
    </row>
    <row r="201">
      <c r="A201" s="71" t="n"/>
      <c r="B201" s="8" t="n"/>
      <c r="C201" s="8" t="n"/>
      <c r="D201" s="14" t="n"/>
      <c r="E201" s="14" t="n"/>
      <c r="F201" s="14" t="n"/>
      <c r="G201" s="20">
        <f>IF(AND(E201&lt;&gt;"",F201&lt;&gt;"",F201&lt;&gt;0),E201/F201,"")</f>
        <v/>
      </c>
    </row>
    <row r="202">
      <c r="A202" s="71" t="n"/>
      <c r="B202" s="8" t="n"/>
      <c r="C202" s="8" t="n"/>
      <c r="D202" s="14" t="n"/>
      <c r="E202" s="14" t="n"/>
      <c r="F202" s="14" t="n"/>
      <c r="G202" s="20">
        <f>IF(AND(E202&lt;&gt;"",F202&lt;&gt;"",F202&lt;&gt;0),E202/F202,"")</f>
        <v/>
      </c>
    </row>
    <row r="203">
      <c r="A203" s="71" t="n"/>
      <c r="B203" s="8" t="n"/>
      <c r="C203" s="8" t="n"/>
      <c r="D203" s="14" t="n"/>
      <c r="E203" s="14" t="n"/>
      <c r="F203" s="14" t="n"/>
      <c r="G203" s="20">
        <f>IF(AND(E203&lt;&gt;"",F203&lt;&gt;"",F203&lt;&gt;0),E203/F203,"")</f>
        <v/>
      </c>
    </row>
    <row r="204">
      <c r="A204" s="71" t="n"/>
      <c r="B204" s="8" t="n"/>
      <c r="C204" s="8" t="n"/>
      <c r="D204" s="14" t="n"/>
      <c r="E204" s="14" t="n"/>
      <c r="F204" s="14" t="n"/>
      <c r="G204" s="20">
        <f>IF(AND(E204&lt;&gt;"",F204&lt;&gt;"",F204&lt;&gt;0),E204/F204,"")</f>
        <v/>
      </c>
    </row>
    <row r="205">
      <c r="A205" s="71" t="n"/>
      <c r="B205" s="8" t="n"/>
      <c r="C205" s="8" t="n"/>
      <c r="D205" s="14" t="n"/>
      <c r="E205" s="14" t="n"/>
      <c r="F205" s="14" t="n"/>
      <c r="G205" s="20">
        <f>IF(AND(E205&lt;&gt;"",F205&lt;&gt;"",F205&lt;&gt;0),E205/F205,"")</f>
        <v/>
      </c>
    </row>
    <row r="206">
      <c r="A206" s="71" t="n"/>
      <c r="B206" s="8" t="n"/>
      <c r="C206" s="8" t="n"/>
      <c r="D206" s="14" t="n"/>
      <c r="E206" s="14" t="n"/>
      <c r="F206" s="14" t="n"/>
      <c r="G206" s="20">
        <f>IF(AND(E206&lt;&gt;"",F206&lt;&gt;"",F206&lt;&gt;0),E206/F206,"")</f>
        <v/>
      </c>
    </row>
    <row r="207">
      <c r="A207" s="71" t="n"/>
      <c r="B207" s="8" t="n"/>
      <c r="C207" s="8" t="n"/>
      <c r="D207" s="14" t="n"/>
      <c r="E207" s="14" t="n"/>
      <c r="F207" s="14" t="n"/>
      <c r="G207" s="20">
        <f>IF(AND(E207&lt;&gt;"",F207&lt;&gt;"",F207&lt;&gt;0),E207/F207,"")</f>
        <v/>
      </c>
    </row>
    <row r="208">
      <c r="A208" s="71" t="n"/>
      <c r="B208" s="8" t="n"/>
      <c r="C208" s="8" t="n"/>
      <c r="D208" s="14" t="n"/>
      <c r="E208" s="14" t="n"/>
      <c r="F208" s="14" t="n"/>
      <c r="G208" s="20">
        <f>IF(AND(E208&lt;&gt;"",F208&lt;&gt;"",F208&lt;&gt;0),E208/F208,"")</f>
        <v/>
      </c>
    </row>
    <row r="209">
      <c r="A209" s="71" t="n"/>
      <c r="B209" s="8" t="n"/>
      <c r="C209" s="8" t="n"/>
      <c r="D209" s="14" t="n"/>
      <c r="E209" s="14" t="n"/>
      <c r="F209" s="14" t="n"/>
      <c r="G209" s="20">
        <f>IF(AND(E209&lt;&gt;"",F209&lt;&gt;"",F209&lt;&gt;0),E209/F209,"")</f>
        <v/>
      </c>
    </row>
    <row r="210">
      <c r="A210" s="71" t="n"/>
      <c r="B210" s="8" t="n"/>
      <c r="C210" s="8" t="n"/>
      <c r="D210" s="14" t="n"/>
      <c r="E210" s="14" t="n"/>
      <c r="F210" s="14" t="n"/>
      <c r="G210" s="20">
        <f>IF(AND(E210&lt;&gt;"",F210&lt;&gt;"",F210&lt;&gt;0),E210/F210,"")</f>
        <v/>
      </c>
    </row>
    <row r="211">
      <c r="A211" s="71" t="n"/>
      <c r="B211" s="8" t="n"/>
      <c r="C211" s="8" t="n"/>
      <c r="D211" s="14" t="n"/>
      <c r="E211" s="14" t="n"/>
      <c r="F211" s="14" t="n"/>
      <c r="G211" s="20">
        <f>IF(AND(E211&lt;&gt;"",F211&lt;&gt;"",F211&lt;&gt;0),E211/F211,"")</f>
        <v/>
      </c>
    </row>
    <row r="212">
      <c r="A212" s="71" t="n"/>
      <c r="B212" s="8" t="n"/>
      <c r="C212" s="8" t="n"/>
      <c r="D212" s="14" t="n"/>
      <c r="E212" s="14" t="n"/>
      <c r="F212" s="14" t="n"/>
      <c r="G212" s="20">
        <f>IF(AND(E212&lt;&gt;"",F212&lt;&gt;"",F212&lt;&gt;0),E212/F212,"")</f>
        <v/>
      </c>
    </row>
    <row r="213">
      <c r="A213" s="71" t="n"/>
      <c r="B213" s="8" t="n"/>
      <c r="C213" s="8" t="n"/>
      <c r="D213" s="14" t="n"/>
      <c r="E213" s="14" t="n"/>
      <c r="F213" s="14" t="n"/>
      <c r="G213" s="20">
        <f>IF(AND(E213&lt;&gt;"",F213&lt;&gt;"",F213&lt;&gt;0),E213/F213,"")</f>
        <v/>
      </c>
    </row>
    <row r="214">
      <c r="A214" s="71" t="n"/>
      <c r="B214" s="8" t="n"/>
      <c r="C214" s="8" t="n"/>
      <c r="D214" s="14" t="n"/>
      <c r="E214" s="14" t="n"/>
      <c r="F214" s="14" t="n"/>
      <c r="G214" s="20">
        <f>IF(AND(E214&lt;&gt;"",F214&lt;&gt;"",F214&lt;&gt;0),E214/F214,"")</f>
        <v/>
      </c>
    </row>
    <row r="215">
      <c r="A215" s="71" t="n"/>
      <c r="B215" s="8" t="n"/>
      <c r="C215" s="8" t="n"/>
      <c r="D215" s="14" t="n"/>
      <c r="E215" s="14" t="n"/>
      <c r="F215" s="14" t="n"/>
      <c r="G215" s="20">
        <f>IF(AND(E215&lt;&gt;"",F215&lt;&gt;"",F215&lt;&gt;0),E215/F215,"")</f>
        <v/>
      </c>
    </row>
    <row r="216">
      <c r="A216" s="71" t="n"/>
      <c r="B216" s="8" t="n"/>
      <c r="C216" s="8" t="n"/>
      <c r="D216" s="14" t="n"/>
      <c r="E216" s="14" t="n"/>
      <c r="F216" s="14" t="n"/>
      <c r="G216" s="20">
        <f>IF(AND(E216&lt;&gt;"",F216&lt;&gt;"",F216&lt;&gt;0),E216/F216,"")</f>
        <v/>
      </c>
    </row>
    <row r="217">
      <c r="A217" s="71" t="n"/>
      <c r="B217" s="8" t="n"/>
      <c r="C217" s="8" t="n"/>
      <c r="D217" s="14" t="n"/>
      <c r="E217" s="14" t="n"/>
      <c r="F217" s="14" t="n"/>
      <c r="G217" s="20">
        <f>IF(AND(E217&lt;&gt;"",F217&lt;&gt;"",F217&lt;&gt;0),E217/F217,"")</f>
        <v/>
      </c>
    </row>
    <row r="218">
      <c r="A218" s="71" t="n"/>
      <c r="B218" s="8" t="n"/>
      <c r="C218" s="8" t="n"/>
      <c r="D218" s="14" t="n"/>
      <c r="E218" s="14" t="n"/>
      <c r="F218" s="14" t="n"/>
      <c r="G218" s="20">
        <f>IF(AND(E218&lt;&gt;"",F218&lt;&gt;"",F218&lt;&gt;0),E218/F218,"")</f>
        <v/>
      </c>
    </row>
    <row r="219">
      <c r="A219" s="71" t="n"/>
      <c r="B219" s="8" t="n"/>
      <c r="C219" s="8" t="n"/>
      <c r="D219" s="14" t="n"/>
      <c r="E219" s="14" t="n"/>
      <c r="F219" s="14" t="n"/>
      <c r="G219" s="20">
        <f>IF(AND(E219&lt;&gt;"",F219&lt;&gt;"",F219&lt;&gt;0),E219/F219,"")</f>
        <v/>
      </c>
    </row>
    <row r="220">
      <c r="A220" s="71" t="n"/>
      <c r="B220" s="8" t="n"/>
      <c r="C220" s="8" t="n"/>
      <c r="D220" s="14" t="n"/>
      <c r="E220" s="14" t="n"/>
      <c r="F220" s="14" t="n"/>
      <c r="G220" s="20">
        <f>IF(AND(E220&lt;&gt;"",F220&lt;&gt;"",F220&lt;&gt;0),E220/F220,"")</f>
        <v/>
      </c>
    </row>
    <row r="221">
      <c r="A221" s="71" t="n"/>
      <c r="B221" s="8" t="n"/>
      <c r="C221" s="8" t="n"/>
      <c r="D221" s="14" t="n"/>
      <c r="E221" s="14" t="n"/>
      <c r="F221" s="14" t="n"/>
      <c r="G221" s="20">
        <f>IF(AND(E221&lt;&gt;"",F221&lt;&gt;"",F221&lt;&gt;0),E221/F221,"")</f>
        <v/>
      </c>
    </row>
    <row r="222">
      <c r="A222" s="71" t="n"/>
      <c r="B222" s="8" t="n"/>
      <c r="C222" s="8" t="n"/>
      <c r="D222" s="14" t="n"/>
      <c r="E222" s="14" t="n"/>
      <c r="F222" s="14" t="n"/>
      <c r="G222" s="20">
        <f>IF(AND(E222&lt;&gt;"",F222&lt;&gt;"",F222&lt;&gt;0),E222/F222,"")</f>
        <v/>
      </c>
    </row>
    <row r="223">
      <c r="A223" s="71" t="n"/>
      <c r="B223" s="8" t="n"/>
      <c r="C223" s="8" t="n"/>
      <c r="D223" s="14" t="n"/>
      <c r="E223" s="14" t="n"/>
      <c r="F223" s="14" t="n"/>
      <c r="G223" s="20">
        <f>IF(AND(E223&lt;&gt;"",F223&lt;&gt;"",F223&lt;&gt;0),E223/F223,"")</f>
        <v/>
      </c>
    </row>
    <row r="224">
      <c r="A224" s="71" t="n"/>
      <c r="B224" s="8" t="n"/>
      <c r="C224" s="8" t="n"/>
      <c r="D224" s="14" t="n"/>
      <c r="E224" s="14" t="n"/>
      <c r="F224" s="14" t="n"/>
      <c r="G224" s="20">
        <f>IF(AND(E224&lt;&gt;"",F224&lt;&gt;"",F224&lt;&gt;0),E224/F224,"")</f>
        <v/>
      </c>
    </row>
    <row r="225">
      <c r="A225" s="71" t="n"/>
      <c r="B225" s="8" t="n"/>
      <c r="C225" s="8" t="n"/>
      <c r="D225" s="14" t="n"/>
      <c r="E225" s="14" t="n"/>
      <c r="F225" s="14" t="n"/>
      <c r="G225" s="20">
        <f>IF(AND(E225&lt;&gt;"",F225&lt;&gt;"",F225&lt;&gt;0),E225/F225,"")</f>
        <v/>
      </c>
    </row>
    <row r="226">
      <c r="A226" s="71" t="n"/>
      <c r="B226" s="8" t="n"/>
      <c r="C226" s="8" t="n"/>
      <c r="D226" s="14" t="n"/>
      <c r="E226" s="14" t="n"/>
      <c r="F226" s="14" t="n"/>
      <c r="G226" s="20">
        <f>IF(AND(E226&lt;&gt;"",F226&lt;&gt;"",F226&lt;&gt;0),E226/F226,"")</f>
        <v/>
      </c>
    </row>
    <row r="227">
      <c r="A227" s="71" t="n"/>
      <c r="B227" s="8" t="n"/>
      <c r="C227" s="8" t="n"/>
      <c r="D227" s="14" t="n"/>
      <c r="E227" s="14" t="n"/>
      <c r="F227" s="14" t="n"/>
      <c r="G227" s="20">
        <f>IF(AND(E227&lt;&gt;"",F227&lt;&gt;"",F227&lt;&gt;0),E227/F227,"")</f>
        <v/>
      </c>
    </row>
    <row r="228">
      <c r="A228" s="71" t="n"/>
      <c r="B228" s="8" t="n"/>
      <c r="C228" s="8" t="n"/>
      <c r="D228" s="14" t="n"/>
      <c r="E228" s="14" t="n"/>
      <c r="F228" s="14" t="n"/>
      <c r="G228" s="20">
        <f>IF(AND(E228&lt;&gt;"",F228&lt;&gt;"",F228&lt;&gt;0),E228/F228,"")</f>
        <v/>
      </c>
    </row>
    <row r="229">
      <c r="A229" s="71" t="n"/>
      <c r="B229" s="8" t="n"/>
      <c r="C229" s="8" t="n"/>
      <c r="D229" s="14" t="n"/>
      <c r="E229" s="14" t="n"/>
      <c r="F229" s="14" t="n"/>
      <c r="G229" s="20">
        <f>IF(AND(E229&lt;&gt;"",F229&lt;&gt;"",F229&lt;&gt;0),E229/F229,"")</f>
        <v/>
      </c>
    </row>
    <row r="230">
      <c r="A230" s="71" t="n"/>
      <c r="B230" s="8" t="n"/>
      <c r="C230" s="8" t="n"/>
      <c r="D230" s="14" t="n"/>
      <c r="E230" s="14" t="n"/>
      <c r="F230" s="14" t="n"/>
      <c r="G230" s="20">
        <f>IF(AND(E230&lt;&gt;"",F230&lt;&gt;"",F230&lt;&gt;0),E230/F230,"")</f>
        <v/>
      </c>
    </row>
    <row r="231">
      <c r="A231" s="71" t="n"/>
      <c r="B231" s="8" t="n"/>
      <c r="C231" s="8" t="n"/>
      <c r="D231" s="14" t="n"/>
      <c r="E231" s="14" t="n"/>
      <c r="F231" s="14" t="n"/>
      <c r="G231" s="20">
        <f>IF(AND(E231&lt;&gt;"",F231&lt;&gt;"",F231&lt;&gt;0),E231/F231,"")</f>
        <v/>
      </c>
    </row>
    <row r="232">
      <c r="A232" s="71" t="n"/>
      <c r="B232" s="8" t="n"/>
      <c r="C232" s="8" t="n"/>
      <c r="D232" s="14" t="n"/>
      <c r="E232" s="14" t="n"/>
      <c r="F232" s="14" t="n"/>
      <c r="G232" s="20">
        <f>IF(AND(E232&lt;&gt;"",F232&lt;&gt;"",F232&lt;&gt;0),E232/F232,"")</f>
        <v/>
      </c>
    </row>
    <row r="233">
      <c r="A233" s="71" t="n"/>
      <c r="B233" s="8" t="n"/>
      <c r="C233" s="8" t="n"/>
      <c r="D233" s="14" t="n"/>
      <c r="E233" s="14" t="n"/>
      <c r="F233" s="14" t="n"/>
      <c r="G233" s="20">
        <f>IF(AND(E233&lt;&gt;"",F233&lt;&gt;"",F233&lt;&gt;0),E233/F233,"")</f>
        <v/>
      </c>
    </row>
    <row r="234">
      <c r="A234" s="71" t="n"/>
      <c r="B234" s="8" t="n"/>
      <c r="C234" s="8" t="n"/>
      <c r="D234" s="14" t="n"/>
      <c r="E234" s="14" t="n"/>
      <c r="F234" s="14" t="n"/>
      <c r="G234" s="20">
        <f>IF(AND(E234&lt;&gt;"",F234&lt;&gt;"",F234&lt;&gt;0),E234/F234,"")</f>
        <v/>
      </c>
    </row>
    <row r="235">
      <c r="A235" s="71" t="n"/>
      <c r="B235" s="8" t="n"/>
      <c r="C235" s="8" t="n"/>
      <c r="D235" s="14" t="n"/>
      <c r="E235" s="14" t="n"/>
      <c r="F235" s="14" t="n"/>
      <c r="G235" s="20">
        <f>IF(AND(E235&lt;&gt;"",F235&lt;&gt;"",F235&lt;&gt;0),E235/F235,"")</f>
        <v/>
      </c>
    </row>
    <row r="236">
      <c r="A236" s="71" t="n"/>
      <c r="B236" s="8" t="n"/>
      <c r="C236" s="8" t="n"/>
      <c r="D236" s="14" t="n"/>
      <c r="E236" s="14" t="n"/>
      <c r="F236" s="14" t="n"/>
      <c r="G236" s="20">
        <f>IF(AND(E236&lt;&gt;"",F236&lt;&gt;"",F236&lt;&gt;0),E236/F236,"")</f>
        <v/>
      </c>
    </row>
    <row r="237">
      <c r="A237" s="71" t="n"/>
      <c r="B237" s="8" t="n"/>
      <c r="C237" s="8" t="n"/>
      <c r="D237" s="14" t="n"/>
      <c r="E237" s="14" t="n"/>
      <c r="F237" s="14" t="n"/>
      <c r="G237" s="20">
        <f>IF(AND(E237&lt;&gt;"",F237&lt;&gt;"",F237&lt;&gt;0),E237/F237,"")</f>
        <v/>
      </c>
    </row>
    <row r="238">
      <c r="A238" s="71" t="n"/>
      <c r="B238" s="8" t="n"/>
      <c r="C238" s="8" t="n"/>
      <c r="D238" s="14" t="n"/>
      <c r="E238" s="14" t="n"/>
      <c r="F238" s="14" t="n"/>
      <c r="G238" s="20">
        <f>IF(AND(E238&lt;&gt;"",F238&lt;&gt;"",F238&lt;&gt;0),E238/F238,"")</f>
        <v/>
      </c>
    </row>
    <row r="239">
      <c r="A239" s="71" t="n"/>
      <c r="B239" s="8" t="n"/>
      <c r="C239" s="8" t="n"/>
      <c r="D239" s="14" t="n"/>
      <c r="E239" s="14" t="n"/>
      <c r="F239" s="14" t="n"/>
      <c r="G239" s="20">
        <f>IF(AND(E239&lt;&gt;"",F239&lt;&gt;"",F239&lt;&gt;0),E239/F239,"")</f>
        <v/>
      </c>
    </row>
    <row r="240">
      <c r="A240" s="71" t="n"/>
      <c r="B240" s="8" t="n"/>
      <c r="C240" s="8" t="n"/>
      <c r="D240" s="14" t="n"/>
      <c r="E240" s="14" t="n"/>
      <c r="F240" s="14" t="n"/>
      <c r="G240" s="20">
        <f>IF(AND(E240&lt;&gt;"",F240&lt;&gt;"",F240&lt;&gt;0),E240/F240,"")</f>
        <v/>
      </c>
    </row>
    <row r="241">
      <c r="A241" s="71" t="n"/>
      <c r="B241" s="8" t="n"/>
      <c r="C241" s="8" t="n"/>
      <c r="D241" s="14" t="n"/>
      <c r="E241" s="14" t="n"/>
      <c r="F241" s="14" t="n"/>
      <c r="G241" s="20">
        <f>IF(AND(E241&lt;&gt;"",F241&lt;&gt;"",F241&lt;&gt;0),E241/F241,"")</f>
        <v/>
      </c>
    </row>
    <row r="242">
      <c r="A242" s="71" t="n"/>
      <c r="B242" s="8" t="n"/>
      <c r="C242" s="8" t="n"/>
      <c r="D242" s="14" t="n"/>
      <c r="E242" s="14" t="n"/>
      <c r="F242" s="14" t="n"/>
      <c r="G242" s="20">
        <f>IF(AND(E242&lt;&gt;"",F242&lt;&gt;"",F242&lt;&gt;0),E242/F242,"")</f>
        <v/>
      </c>
    </row>
    <row r="243">
      <c r="A243" s="71" t="n"/>
      <c r="B243" s="8" t="n"/>
      <c r="C243" s="8" t="n"/>
      <c r="D243" s="14" t="n"/>
      <c r="E243" s="14" t="n"/>
      <c r="F243" s="14" t="n"/>
      <c r="G243" s="20">
        <f>IF(AND(E243&lt;&gt;"",F243&lt;&gt;"",F243&lt;&gt;0),E243/F243,"")</f>
        <v/>
      </c>
    </row>
    <row r="244">
      <c r="A244" s="71" t="n"/>
      <c r="B244" s="8" t="n"/>
      <c r="C244" s="8" t="n"/>
      <c r="D244" s="14" t="n"/>
      <c r="E244" s="14" t="n"/>
      <c r="F244" s="14" t="n"/>
      <c r="G244" s="20">
        <f>IF(AND(E244&lt;&gt;"",F244&lt;&gt;"",F244&lt;&gt;0),E244/F244,"")</f>
        <v/>
      </c>
    </row>
    <row r="245">
      <c r="A245" s="71" t="n"/>
      <c r="B245" s="8" t="n"/>
      <c r="C245" s="8" t="n"/>
      <c r="D245" s="14" t="n"/>
      <c r="E245" s="14" t="n"/>
      <c r="F245" s="14" t="n"/>
      <c r="G245" s="20">
        <f>IF(AND(E245&lt;&gt;"",F245&lt;&gt;"",F245&lt;&gt;0),E245/F245,"")</f>
        <v/>
      </c>
    </row>
    <row r="246">
      <c r="A246" s="71" t="n"/>
      <c r="B246" s="8" t="n"/>
      <c r="C246" s="8" t="n"/>
      <c r="D246" s="14" t="n"/>
      <c r="E246" s="14" t="n"/>
      <c r="F246" s="14" t="n"/>
      <c r="G246" s="20">
        <f>IF(AND(E246&lt;&gt;"",F246&lt;&gt;"",F246&lt;&gt;0),E246/F246,"")</f>
        <v/>
      </c>
    </row>
    <row r="247">
      <c r="A247" s="71" t="n"/>
      <c r="B247" s="8" t="n"/>
      <c r="C247" s="8" t="n"/>
      <c r="D247" s="14" t="n"/>
      <c r="E247" s="14" t="n"/>
      <c r="F247" s="14" t="n"/>
      <c r="G247" s="20">
        <f>IF(AND(E247&lt;&gt;"",F247&lt;&gt;"",F247&lt;&gt;0),E247/F247,"")</f>
        <v/>
      </c>
    </row>
    <row r="248">
      <c r="A248" s="71" t="n"/>
      <c r="B248" s="8" t="n"/>
      <c r="C248" s="8" t="n"/>
      <c r="D248" s="14" t="n"/>
      <c r="E248" s="14" t="n"/>
      <c r="F248" s="14" t="n"/>
      <c r="G248" s="20">
        <f>IF(AND(E248&lt;&gt;"",F248&lt;&gt;"",F248&lt;&gt;0),E248/F248,"")</f>
        <v/>
      </c>
    </row>
    <row r="249">
      <c r="A249" s="71" t="n"/>
      <c r="B249" s="8" t="n"/>
      <c r="C249" s="8" t="n"/>
      <c r="D249" s="14" t="n"/>
      <c r="E249" s="14" t="n"/>
      <c r="F249" s="14" t="n"/>
      <c r="G249" s="20">
        <f>IF(AND(E249&lt;&gt;"",F249&lt;&gt;"",F249&lt;&gt;0),E249/F249,"")</f>
        <v/>
      </c>
    </row>
    <row r="250">
      <c r="A250" s="71" t="n"/>
      <c r="B250" s="8" t="n"/>
      <c r="C250" s="8" t="n"/>
      <c r="D250" s="14" t="n"/>
      <c r="E250" s="14" t="n"/>
      <c r="F250" s="14" t="n"/>
      <c r="G250" s="20">
        <f>IF(AND(E250&lt;&gt;"",F250&lt;&gt;"",F250&lt;&gt;0),E250/F250,"")</f>
        <v/>
      </c>
    </row>
    <row r="251">
      <c r="A251" s="71" t="n"/>
      <c r="B251" s="8" t="n"/>
      <c r="C251" s="8" t="n"/>
      <c r="D251" s="14" t="n"/>
      <c r="E251" s="14" t="n"/>
      <c r="F251" s="14" t="n"/>
      <c r="G251" s="20">
        <f>IF(AND(E251&lt;&gt;"",F251&lt;&gt;"",F251&lt;&gt;0),E251/F251,"")</f>
        <v/>
      </c>
    </row>
    <row r="252">
      <c r="A252" s="71" t="n"/>
      <c r="B252" s="8" t="n"/>
      <c r="C252" s="8" t="n"/>
      <c r="D252" s="14" t="n"/>
      <c r="E252" s="14" t="n"/>
      <c r="F252" s="14" t="n"/>
      <c r="G252" s="20">
        <f>IF(AND(E252&lt;&gt;"",F252&lt;&gt;"",F252&lt;&gt;0),E252/F252,"")</f>
        <v/>
      </c>
    </row>
    <row r="253">
      <c r="A253" s="71" t="n"/>
      <c r="B253" s="8" t="n"/>
      <c r="C253" s="8" t="n"/>
      <c r="D253" s="14" t="n"/>
      <c r="E253" s="14" t="n"/>
      <c r="F253" s="14" t="n"/>
      <c r="G253" s="20">
        <f>IF(AND(E253&lt;&gt;"",F253&lt;&gt;"",F253&lt;&gt;0),E253/F253,"")</f>
        <v/>
      </c>
    </row>
    <row r="254">
      <c r="A254" s="71" t="n"/>
      <c r="B254" s="8" t="n"/>
      <c r="C254" s="8" t="n"/>
      <c r="D254" s="14" t="n"/>
      <c r="E254" s="14" t="n"/>
      <c r="F254" s="14" t="n"/>
      <c r="G254" s="20">
        <f>IF(AND(E254&lt;&gt;"",F254&lt;&gt;"",F254&lt;&gt;0),E254/F254,"")</f>
        <v/>
      </c>
    </row>
    <row r="255">
      <c r="A255" s="71" t="n"/>
      <c r="B255" s="8" t="n"/>
      <c r="C255" s="8" t="n"/>
      <c r="D255" s="14" t="n"/>
      <c r="E255" s="14" t="n"/>
      <c r="F255" s="14" t="n"/>
      <c r="G255" s="20">
        <f>IF(AND(E255&lt;&gt;"",F255&lt;&gt;"",F255&lt;&gt;0),E255/F255,"")</f>
        <v/>
      </c>
    </row>
    <row r="256">
      <c r="A256" s="71" t="n"/>
      <c r="B256" s="8" t="n"/>
      <c r="C256" s="8" t="n"/>
      <c r="D256" s="14" t="n"/>
      <c r="E256" s="14" t="n"/>
      <c r="F256" s="14" t="n"/>
      <c r="G256" s="20">
        <f>IF(AND(E256&lt;&gt;"",F256&lt;&gt;"",F256&lt;&gt;0),E256/F256,"")</f>
        <v/>
      </c>
    </row>
    <row r="257">
      <c r="A257" s="71" t="n"/>
      <c r="B257" s="8" t="n"/>
      <c r="C257" s="8" t="n"/>
      <c r="D257" s="14" t="n"/>
      <c r="E257" s="14" t="n"/>
      <c r="F257" s="14" t="n"/>
      <c r="G257" s="20">
        <f>IF(AND(E257&lt;&gt;"",F257&lt;&gt;"",F257&lt;&gt;0),E257/F257,"")</f>
        <v/>
      </c>
    </row>
    <row r="258">
      <c r="A258" s="71" t="n"/>
      <c r="B258" s="8" t="n"/>
      <c r="C258" s="8" t="n"/>
      <c r="D258" s="14" t="n"/>
      <c r="E258" s="14" t="n"/>
      <c r="F258" s="14" t="n"/>
      <c r="G258" s="20">
        <f>IF(AND(E258&lt;&gt;"",F258&lt;&gt;"",F258&lt;&gt;0),E258/F258,"")</f>
        <v/>
      </c>
    </row>
    <row r="259">
      <c r="A259" s="71" t="n"/>
      <c r="B259" s="8" t="n"/>
      <c r="C259" s="8" t="n"/>
      <c r="D259" s="14" t="n"/>
      <c r="E259" s="14" t="n"/>
      <c r="F259" s="14" t="n"/>
      <c r="G259" s="20">
        <f>IF(AND(E259&lt;&gt;"",F259&lt;&gt;"",F259&lt;&gt;0),E259/F259,"")</f>
        <v/>
      </c>
    </row>
    <row r="260">
      <c r="A260" s="71" t="n"/>
      <c r="B260" s="8" t="n"/>
      <c r="C260" s="8" t="n"/>
      <c r="D260" s="14" t="n"/>
      <c r="E260" s="14" t="n"/>
      <c r="F260" s="14" t="n"/>
      <c r="G260" s="20">
        <f>IF(AND(E260&lt;&gt;"",F260&lt;&gt;"",F260&lt;&gt;0),E260/F260,"")</f>
        <v/>
      </c>
    </row>
    <row r="261">
      <c r="A261" s="71" t="n"/>
      <c r="B261" s="8" t="n"/>
      <c r="C261" s="8" t="n"/>
      <c r="D261" s="14" t="n"/>
      <c r="E261" s="14" t="n"/>
      <c r="F261" s="14" t="n"/>
      <c r="G261" s="20">
        <f>IF(AND(E261&lt;&gt;"",F261&lt;&gt;"",F261&lt;&gt;0),E261/F261,"")</f>
        <v/>
      </c>
    </row>
    <row r="262">
      <c r="A262" s="71" t="n"/>
      <c r="B262" s="8" t="n"/>
      <c r="C262" s="8" t="n"/>
      <c r="D262" s="14" t="n"/>
      <c r="E262" s="14" t="n"/>
      <c r="F262" s="14" t="n"/>
      <c r="G262" s="20">
        <f>IF(AND(E262&lt;&gt;"",F262&lt;&gt;"",F262&lt;&gt;0),E262/F262,"")</f>
        <v/>
      </c>
    </row>
    <row r="263">
      <c r="A263" s="71" t="n"/>
      <c r="B263" s="8" t="n"/>
      <c r="C263" s="8" t="n"/>
      <c r="D263" s="14" t="n"/>
      <c r="E263" s="14" t="n"/>
      <c r="F263" s="14" t="n"/>
      <c r="G263" s="20">
        <f>IF(AND(E263&lt;&gt;"",F263&lt;&gt;"",F263&lt;&gt;0),E263/F263,"")</f>
        <v/>
      </c>
    </row>
    <row r="264">
      <c r="A264" s="71" t="n"/>
      <c r="B264" s="8" t="n"/>
      <c r="C264" s="8" t="n"/>
      <c r="D264" s="14" t="n"/>
      <c r="E264" s="14" t="n"/>
      <c r="F264" s="14" t="n"/>
      <c r="G264" s="20">
        <f>IF(AND(E264&lt;&gt;"",F264&lt;&gt;"",F264&lt;&gt;0),E264/F264,"")</f>
        <v/>
      </c>
    </row>
    <row r="265">
      <c r="A265" s="71" t="n"/>
      <c r="B265" s="8" t="n"/>
      <c r="C265" s="8" t="n"/>
      <c r="D265" s="14" t="n"/>
      <c r="E265" s="14" t="n"/>
      <c r="F265" s="14" t="n"/>
      <c r="G265" s="20">
        <f>IF(AND(E265&lt;&gt;"",F265&lt;&gt;"",F265&lt;&gt;0),E265/F265,"")</f>
        <v/>
      </c>
    </row>
    <row r="266">
      <c r="A266" s="71" t="n"/>
      <c r="B266" s="8" t="n"/>
      <c r="C266" s="8" t="n"/>
      <c r="D266" s="14" t="n"/>
      <c r="E266" s="14" t="n"/>
      <c r="F266" s="14" t="n"/>
      <c r="G266" s="20">
        <f>IF(AND(E266&lt;&gt;"",F266&lt;&gt;"",F266&lt;&gt;0),E266/F266,"")</f>
        <v/>
      </c>
    </row>
    <row r="267">
      <c r="A267" s="71" t="n"/>
      <c r="B267" s="8" t="n"/>
      <c r="C267" s="8" t="n"/>
      <c r="D267" s="14" t="n"/>
      <c r="E267" s="14" t="n"/>
      <c r="F267" s="14" t="n"/>
      <c r="G267" s="20">
        <f>IF(AND(E267&lt;&gt;"",F267&lt;&gt;"",F267&lt;&gt;0),E267/F267,"")</f>
        <v/>
      </c>
    </row>
    <row r="268">
      <c r="A268" s="71" t="n"/>
      <c r="B268" s="8" t="n"/>
      <c r="C268" s="8" t="n"/>
      <c r="D268" s="14" t="n"/>
      <c r="E268" s="14" t="n"/>
      <c r="F268" s="14" t="n"/>
      <c r="G268" s="20">
        <f>IF(AND(E268&lt;&gt;"",F268&lt;&gt;"",F268&lt;&gt;0),E268/F268,"")</f>
        <v/>
      </c>
    </row>
    <row r="269">
      <c r="A269" s="71" t="n"/>
      <c r="B269" s="8" t="n"/>
      <c r="C269" s="8" t="n"/>
      <c r="D269" s="14" t="n"/>
      <c r="E269" s="14" t="n"/>
      <c r="F269" s="14" t="n"/>
      <c r="G269" s="20">
        <f>IF(AND(E269&lt;&gt;"",F269&lt;&gt;"",F269&lt;&gt;0),E269/F269,"")</f>
        <v/>
      </c>
    </row>
    <row r="270">
      <c r="A270" s="71" t="n"/>
      <c r="B270" s="8" t="n"/>
      <c r="C270" s="8" t="n"/>
      <c r="D270" s="14" t="n"/>
      <c r="E270" s="14" t="n"/>
      <c r="F270" s="14" t="n"/>
      <c r="G270" s="20">
        <f>IF(AND(E270&lt;&gt;"",F270&lt;&gt;"",F270&lt;&gt;0),E270/F270,"")</f>
        <v/>
      </c>
    </row>
    <row r="271">
      <c r="A271" s="71" t="n"/>
      <c r="B271" s="8" t="n"/>
      <c r="C271" s="8" t="n"/>
      <c r="D271" s="14" t="n"/>
      <c r="E271" s="14" t="n"/>
      <c r="F271" s="14" t="n"/>
      <c r="G271" s="20">
        <f>IF(AND(E271&lt;&gt;"",F271&lt;&gt;"",F271&lt;&gt;0),E271/F271,"")</f>
        <v/>
      </c>
    </row>
    <row r="272">
      <c r="A272" s="71" t="n"/>
      <c r="B272" s="8" t="n"/>
      <c r="C272" s="8" t="n"/>
      <c r="D272" s="14" t="n"/>
      <c r="E272" s="14" t="n"/>
      <c r="F272" s="14" t="n"/>
      <c r="G272" s="20">
        <f>IF(AND(E272&lt;&gt;"",F272&lt;&gt;"",F272&lt;&gt;0),E272/F272,"")</f>
        <v/>
      </c>
    </row>
    <row r="273">
      <c r="A273" s="71" t="n"/>
      <c r="B273" s="8" t="n"/>
      <c r="C273" s="8" t="n"/>
      <c r="D273" s="14" t="n"/>
      <c r="E273" s="14" t="n"/>
      <c r="F273" s="14" t="n"/>
      <c r="G273" s="20">
        <f>IF(AND(E273&lt;&gt;"",F273&lt;&gt;"",F273&lt;&gt;0),E273/F273,"")</f>
        <v/>
      </c>
    </row>
    <row r="274">
      <c r="A274" s="71" t="n"/>
      <c r="B274" s="8" t="n"/>
      <c r="C274" s="8" t="n"/>
      <c r="D274" s="14" t="n"/>
      <c r="E274" s="14" t="n"/>
      <c r="F274" s="14" t="n"/>
      <c r="G274" s="20">
        <f>IF(AND(E274&lt;&gt;"",F274&lt;&gt;"",F274&lt;&gt;0),E274/F274,"")</f>
        <v/>
      </c>
    </row>
    <row r="275">
      <c r="A275" s="71" t="n"/>
      <c r="B275" s="8" t="n"/>
      <c r="C275" s="8" t="n"/>
      <c r="D275" s="14" t="n"/>
      <c r="E275" s="14" t="n"/>
      <c r="F275" s="14" t="n"/>
      <c r="G275" s="20">
        <f>IF(AND(E275&lt;&gt;"",F275&lt;&gt;"",F275&lt;&gt;0),E275/F275,"")</f>
        <v/>
      </c>
    </row>
    <row r="276">
      <c r="A276" s="71" t="n"/>
      <c r="B276" s="8" t="n"/>
      <c r="C276" s="8" t="n"/>
      <c r="D276" s="14" t="n"/>
      <c r="E276" s="14" t="n"/>
      <c r="F276" s="14" t="n"/>
      <c r="G276" s="20">
        <f>IF(AND(E276&lt;&gt;"",F276&lt;&gt;"",F276&lt;&gt;0),E276/F276,"")</f>
        <v/>
      </c>
    </row>
    <row r="277">
      <c r="A277" s="71" t="n"/>
      <c r="B277" s="8" t="n"/>
      <c r="C277" s="8" t="n"/>
      <c r="D277" s="14" t="n"/>
      <c r="E277" s="14" t="n"/>
      <c r="F277" s="14" t="n"/>
      <c r="G277" s="20">
        <f>IF(AND(E277&lt;&gt;"",F277&lt;&gt;"",F277&lt;&gt;0),E277/F277,"")</f>
        <v/>
      </c>
    </row>
    <row r="278">
      <c r="A278" s="71" t="n"/>
      <c r="B278" s="8" t="n"/>
      <c r="C278" s="8" t="n"/>
      <c r="D278" s="14" t="n"/>
      <c r="E278" s="14" t="n"/>
      <c r="F278" s="14" t="n"/>
      <c r="G278" s="20">
        <f>IF(AND(E278&lt;&gt;"",F278&lt;&gt;"",F278&lt;&gt;0),E278/F278,"")</f>
        <v/>
      </c>
    </row>
    <row r="279">
      <c r="A279" s="71" t="n"/>
      <c r="B279" s="8" t="n"/>
      <c r="C279" s="8" t="n"/>
      <c r="D279" s="14" t="n"/>
      <c r="E279" s="14" t="n"/>
      <c r="F279" s="14" t="n"/>
      <c r="G279" s="20">
        <f>IF(AND(E279&lt;&gt;"",F279&lt;&gt;"",F279&lt;&gt;0),E279/F279,"")</f>
        <v/>
      </c>
    </row>
    <row r="280">
      <c r="A280" s="71" t="n"/>
      <c r="B280" s="8" t="n"/>
      <c r="C280" s="8" t="n"/>
      <c r="D280" s="14" t="n"/>
      <c r="E280" s="14" t="n"/>
      <c r="F280" s="14" t="n"/>
      <c r="G280" s="20">
        <f>IF(AND(E280&lt;&gt;"",F280&lt;&gt;"",F280&lt;&gt;0),E280/F280,"")</f>
        <v/>
      </c>
    </row>
    <row r="281">
      <c r="A281" s="71" t="n"/>
      <c r="B281" s="8" t="n"/>
      <c r="C281" s="8" t="n"/>
      <c r="D281" s="14" t="n"/>
      <c r="E281" s="14" t="n"/>
      <c r="F281" s="14" t="n"/>
      <c r="G281" s="20">
        <f>IF(AND(E281&lt;&gt;"",F281&lt;&gt;"",F281&lt;&gt;0),E281/F281,"")</f>
        <v/>
      </c>
    </row>
    <row r="282">
      <c r="A282" s="71" t="n"/>
      <c r="B282" s="8" t="n"/>
      <c r="C282" s="8" t="n"/>
      <c r="D282" s="14" t="n"/>
      <c r="E282" s="14" t="n"/>
      <c r="F282" s="14" t="n"/>
      <c r="G282" s="20">
        <f>IF(AND(E282&lt;&gt;"",F282&lt;&gt;"",F282&lt;&gt;0),E282/F282,"")</f>
        <v/>
      </c>
    </row>
    <row r="283">
      <c r="A283" s="71" t="n"/>
      <c r="B283" s="8" t="n"/>
      <c r="C283" s="8" t="n"/>
      <c r="D283" s="14" t="n"/>
      <c r="E283" s="14" t="n"/>
      <c r="F283" s="14" t="n"/>
      <c r="G283" s="20">
        <f>IF(AND(E283&lt;&gt;"",F283&lt;&gt;"",F283&lt;&gt;0),E283/F283,"")</f>
        <v/>
      </c>
    </row>
    <row r="284">
      <c r="A284" s="71" t="n"/>
      <c r="B284" s="8" t="n"/>
      <c r="C284" s="8" t="n"/>
      <c r="D284" s="14" t="n"/>
      <c r="E284" s="14" t="n"/>
      <c r="F284" s="14" t="n"/>
      <c r="G284" s="20">
        <f>IF(AND(E284&lt;&gt;"",F284&lt;&gt;"",F284&lt;&gt;0),E284/F284,"")</f>
        <v/>
      </c>
    </row>
    <row r="285">
      <c r="A285" s="71" t="n"/>
      <c r="B285" s="8" t="n"/>
      <c r="C285" s="8" t="n"/>
      <c r="D285" s="14" t="n"/>
      <c r="E285" s="14" t="n"/>
      <c r="F285" s="14" t="n"/>
      <c r="G285" s="20">
        <f>IF(AND(E285&lt;&gt;"",F285&lt;&gt;"",F285&lt;&gt;0),E285/F285,"")</f>
        <v/>
      </c>
    </row>
    <row r="286">
      <c r="A286" s="71" t="n"/>
      <c r="B286" s="8" t="n"/>
      <c r="C286" s="8" t="n"/>
      <c r="D286" s="14" t="n"/>
      <c r="E286" s="14" t="n"/>
      <c r="F286" s="14" t="n"/>
      <c r="G286" s="20">
        <f>IF(AND(E286&lt;&gt;"",F286&lt;&gt;"",F286&lt;&gt;0),E286/F286,"")</f>
        <v/>
      </c>
    </row>
    <row r="287">
      <c r="A287" s="71" t="n"/>
      <c r="B287" s="8" t="n"/>
      <c r="C287" s="8" t="n"/>
      <c r="D287" s="14" t="n"/>
      <c r="E287" s="14" t="n"/>
      <c r="F287" s="14" t="n"/>
      <c r="G287" s="20">
        <f>IF(AND(E287&lt;&gt;"",F287&lt;&gt;"",F287&lt;&gt;0),E287/F287,"")</f>
        <v/>
      </c>
    </row>
    <row r="288">
      <c r="A288" s="71" t="n"/>
      <c r="B288" s="8" t="n"/>
      <c r="C288" s="8" t="n"/>
      <c r="D288" s="14" t="n"/>
      <c r="E288" s="14" t="n"/>
      <c r="F288" s="14" t="n"/>
      <c r="G288" s="20">
        <f>IF(AND(E288&lt;&gt;"",F288&lt;&gt;"",F288&lt;&gt;0),E288/F288,"")</f>
        <v/>
      </c>
    </row>
    <row r="289">
      <c r="A289" s="71" t="n"/>
      <c r="B289" s="8" t="n"/>
      <c r="C289" s="8" t="n"/>
      <c r="D289" s="14" t="n"/>
      <c r="E289" s="14" t="n"/>
      <c r="F289" s="14" t="n"/>
      <c r="G289" s="20">
        <f>IF(AND(E289&lt;&gt;"",F289&lt;&gt;"",F289&lt;&gt;0),E289/F289,"")</f>
        <v/>
      </c>
    </row>
    <row r="290">
      <c r="A290" s="71" t="n"/>
      <c r="B290" s="8" t="n"/>
      <c r="C290" s="8" t="n"/>
      <c r="D290" s="14" t="n"/>
      <c r="E290" s="14" t="n"/>
      <c r="F290" s="14" t="n"/>
      <c r="G290" s="20">
        <f>IF(AND(E290&lt;&gt;"",F290&lt;&gt;"",F290&lt;&gt;0),E290/F290,"")</f>
        <v/>
      </c>
    </row>
    <row r="291">
      <c r="A291" s="71" t="n"/>
      <c r="B291" s="8" t="n"/>
      <c r="C291" s="8" t="n"/>
      <c r="D291" s="14" t="n"/>
      <c r="E291" s="14" t="n"/>
      <c r="F291" s="14" t="n"/>
      <c r="G291" s="20">
        <f>IF(AND(E291&lt;&gt;"",F291&lt;&gt;"",F291&lt;&gt;0),E291/F291,"")</f>
        <v/>
      </c>
    </row>
    <row r="292">
      <c r="A292" s="71" t="n"/>
      <c r="B292" s="8" t="n"/>
      <c r="C292" s="8" t="n"/>
      <c r="D292" s="14" t="n"/>
      <c r="E292" s="14" t="n"/>
      <c r="F292" s="14" t="n"/>
      <c r="G292" s="20">
        <f>IF(AND(E292&lt;&gt;"",F292&lt;&gt;"",F292&lt;&gt;0),E292/F292,"")</f>
        <v/>
      </c>
    </row>
    <row r="293">
      <c r="A293" s="71" t="n"/>
      <c r="B293" s="8" t="n"/>
      <c r="C293" s="8" t="n"/>
      <c r="D293" s="14" t="n"/>
      <c r="E293" s="14" t="n"/>
      <c r="F293" s="14" t="n"/>
      <c r="G293" s="20">
        <f>IF(AND(E293&lt;&gt;"",F293&lt;&gt;"",F293&lt;&gt;0),E293/F293,"")</f>
        <v/>
      </c>
    </row>
    <row r="294">
      <c r="A294" s="71" t="n"/>
      <c r="B294" s="8" t="n"/>
      <c r="C294" s="8" t="n"/>
      <c r="D294" s="14" t="n"/>
      <c r="E294" s="14" t="n"/>
      <c r="F294" s="14" t="n"/>
      <c r="G294" s="20">
        <f>IF(AND(E294&lt;&gt;"",F294&lt;&gt;"",F294&lt;&gt;0),E294/F294,"")</f>
        <v/>
      </c>
    </row>
    <row r="295">
      <c r="A295" s="71" t="n"/>
      <c r="B295" s="8" t="n"/>
      <c r="C295" s="8" t="n"/>
      <c r="D295" s="14" t="n"/>
      <c r="E295" s="14" t="n"/>
      <c r="F295" s="14" t="n"/>
      <c r="G295" s="20">
        <f>IF(AND(E295&lt;&gt;"",F295&lt;&gt;"",F295&lt;&gt;0),E295/F295,"")</f>
        <v/>
      </c>
    </row>
    <row r="296">
      <c r="A296" s="71" t="n"/>
      <c r="B296" s="8" t="n"/>
      <c r="C296" s="8" t="n"/>
      <c r="D296" s="14" t="n"/>
      <c r="E296" s="14" t="n"/>
      <c r="F296" s="14" t="n"/>
      <c r="G296" s="20">
        <f>IF(AND(E296&lt;&gt;"",F296&lt;&gt;"",F296&lt;&gt;0),E296/F296,"")</f>
        <v/>
      </c>
    </row>
    <row r="297">
      <c r="A297" s="71" t="n"/>
      <c r="B297" s="8" t="n"/>
      <c r="C297" s="8" t="n"/>
      <c r="D297" s="14" t="n"/>
      <c r="E297" s="14" t="n"/>
      <c r="F297" s="14" t="n"/>
      <c r="G297" s="20">
        <f>IF(AND(E297&lt;&gt;"",F297&lt;&gt;"",F297&lt;&gt;0),E297/F297,"")</f>
        <v/>
      </c>
    </row>
    <row r="298">
      <c r="A298" s="71" t="n"/>
      <c r="B298" s="8" t="n"/>
      <c r="C298" s="8" t="n"/>
      <c r="D298" s="14" t="n"/>
      <c r="E298" s="14" t="n"/>
      <c r="F298" s="14" t="n"/>
      <c r="G298" s="20">
        <f>IF(AND(E298&lt;&gt;"",F298&lt;&gt;"",F298&lt;&gt;0),E298/F298,"")</f>
        <v/>
      </c>
    </row>
    <row r="299">
      <c r="A299" s="71" t="n"/>
      <c r="B299" s="8" t="n"/>
      <c r="C299" s="8" t="n"/>
      <c r="D299" s="14" t="n"/>
      <c r="E299" s="14" t="n"/>
      <c r="F299" s="14" t="n"/>
      <c r="G299" s="20">
        <f>IF(AND(E299&lt;&gt;"",F299&lt;&gt;"",F299&lt;&gt;0),E299/F299,"")</f>
        <v/>
      </c>
    </row>
    <row r="300">
      <c r="A300" s="71" t="n"/>
      <c r="B300" s="8" t="n"/>
      <c r="C300" s="8" t="n"/>
      <c r="D300" s="14" t="n"/>
      <c r="E300" s="14" t="n"/>
      <c r="F300" s="14" t="n"/>
      <c r="G300" s="20">
        <f>IF(AND(E300&lt;&gt;"",F300&lt;&gt;"",F300&lt;&gt;0),E300/F300,"")</f>
        <v/>
      </c>
    </row>
    <row r="301">
      <c r="A301" s="71" t="n"/>
      <c r="B301" s="8" t="n"/>
      <c r="C301" s="8" t="n"/>
      <c r="D301" s="14" t="n"/>
      <c r="E301" s="14" t="n"/>
      <c r="F301" s="14" t="n"/>
      <c r="G301" s="20">
        <f>IF(AND(E301&lt;&gt;"",F301&lt;&gt;"",F301&lt;&gt;0),E301/F301,"")</f>
        <v/>
      </c>
    </row>
    <row r="302">
      <c r="A302" s="71" t="n"/>
      <c r="B302" s="8" t="n"/>
      <c r="C302" s="8" t="n"/>
      <c r="D302" s="14" t="n"/>
      <c r="E302" s="14" t="n"/>
      <c r="F302" s="14" t="n"/>
      <c r="G302" s="20">
        <f>IF(AND(E302&lt;&gt;"",F302&lt;&gt;"",F302&lt;&gt;0),E302/F302,"")</f>
        <v/>
      </c>
    </row>
    <row r="303">
      <c r="A303" s="71" t="n"/>
      <c r="B303" s="8" t="n"/>
      <c r="C303" s="8" t="n"/>
      <c r="D303" s="14" t="n"/>
      <c r="E303" s="14" t="n"/>
      <c r="F303" s="14" t="n"/>
      <c r="G303" s="20">
        <f>IF(AND(E303&lt;&gt;"",F303&lt;&gt;"",F303&lt;&gt;0),E303/F303,"")</f>
        <v/>
      </c>
    </row>
    <row r="304">
      <c r="A304" s="71" t="n"/>
      <c r="B304" s="8" t="n"/>
      <c r="C304" s="8" t="n"/>
      <c r="D304" s="14" t="n"/>
      <c r="E304" s="14" t="n"/>
      <c r="F304" s="14" t="n"/>
      <c r="G304" s="20">
        <f>IF(AND(E304&lt;&gt;"",F304&lt;&gt;"",F304&lt;&gt;0),E304/F304,"")</f>
        <v/>
      </c>
    </row>
    <row r="305">
      <c r="A305" s="71" t="n"/>
      <c r="B305" s="8" t="n"/>
      <c r="C305" s="8" t="n"/>
      <c r="D305" s="14" t="n"/>
      <c r="E305" s="14" t="n"/>
      <c r="F305" s="14" t="n"/>
      <c r="G305" s="20">
        <f>IF(AND(E305&lt;&gt;"",F305&lt;&gt;"",F305&lt;&gt;0),E305/F305,"")</f>
        <v/>
      </c>
    </row>
    <row r="306">
      <c r="A306" s="71" t="n"/>
      <c r="B306" s="8" t="n"/>
      <c r="C306" s="8" t="n"/>
      <c r="D306" s="14" t="n"/>
      <c r="E306" s="14" t="n"/>
      <c r="F306" s="14" t="n"/>
      <c r="G306" s="20">
        <f>IF(AND(E306&lt;&gt;"",F306&lt;&gt;"",F306&lt;&gt;0),E306/F306,"")</f>
        <v/>
      </c>
    </row>
    <row r="307">
      <c r="A307" s="71" t="n"/>
      <c r="B307" s="8" t="n"/>
      <c r="C307" s="8" t="n"/>
      <c r="D307" s="14" t="n"/>
      <c r="E307" s="14" t="n"/>
      <c r="F307" s="14" t="n"/>
      <c r="G307" s="20">
        <f>IF(AND(E307&lt;&gt;"",F307&lt;&gt;"",F307&lt;&gt;0),E307/F307,"")</f>
        <v/>
      </c>
    </row>
    <row r="308">
      <c r="A308" s="71" t="n"/>
      <c r="B308" s="8" t="n"/>
      <c r="C308" s="8" t="n"/>
      <c r="D308" s="14" t="n"/>
      <c r="E308" s="14" t="n"/>
      <c r="F308" s="14" t="n"/>
      <c r="G308" s="20">
        <f>IF(AND(E308&lt;&gt;"",F308&lt;&gt;"",F308&lt;&gt;0),E308/F308,"")</f>
        <v/>
      </c>
    </row>
    <row r="309">
      <c r="A309" s="71" t="n"/>
      <c r="B309" s="8" t="n"/>
      <c r="C309" s="8" t="n"/>
      <c r="D309" s="14" t="n"/>
      <c r="E309" s="14" t="n"/>
      <c r="F309" s="14" t="n"/>
      <c r="G309" s="20">
        <f>IF(AND(E309&lt;&gt;"",F309&lt;&gt;"",F309&lt;&gt;0),E309/F309,"")</f>
        <v/>
      </c>
    </row>
    <row r="310">
      <c r="A310" s="71" t="n"/>
      <c r="B310" s="8" t="n"/>
      <c r="C310" s="8" t="n"/>
      <c r="D310" s="14" t="n"/>
      <c r="E310" s="14" t="n"/>
      <c r="F310" s="14" t="n"/>
      <c r="G310" s="20">
        <f>IF(AND(E310&lt;&gt;"",F310&lt;&gt;"",F310&lt;&gt;0),E310/F310,"")</f>
        <v/>
      </c>
    </row>
    <row r="311">
      <c r="A311" s="71" t="n"/>
      <c r="B311" s="8" t="n"/>
      <c r="C311" s="8" t="n"/>
      <c r="D311" s="14" t="n"/>
      <c r="E311" s="14" t="n"/>
      <c r="F311" s="14" t="n"/>
      <c r="G311" s="20">
        <f>IF(AND(E311&lt;&gt;"",F311&lt;&gt;"",F311&lt;&gt;0),E311/F311,"")</f>
        <v/>
      </c>
    </row>
    <row r="312">
      <c r="A312" s="71" t="n"/>
      <c r="B312" s="8" t="n"/>
      <c r="C312" s="8" t="n"/>
      <c r="D312" s="14" t="n"/>
      <c r="E312" s="14" t="n"/>
      <c r="F312" s="14" t="n"/>
      <c r="G312" s="20">
        <f>IF(AND(E312&lt;&gt;"",F312&lt;&gt;"",F312&lt;&gt;0),E312/F312,"")</f>
        <v/>
      </c>
    </row>
    <row r="313">
      <c r="A313" s="71" t="n"/>
      <c r="B313" s="8" t="n"/>
      <c r="C313" s="8" t="n"/>
      <c r="D313" s="14" t="n"/>
      <c r="E313" s="14" t="n"/>
      <c r="F313" s="14" t="n"/>
      <c r="G313" s="20">
        <f>IF(AND(E313&lt;&gt;"",F313&lt;&gt;"",F313&lt;&gt;0),E313/F313,"")</f>
        <v/>
      </c>
    </row>
    <row r="314">
      <c r="A314" s="71" t="n"/>
      <c r="B314" s="8" t="n"/>
      <c r="C314" s="8" t="n"/>
      <c r="D314" s="14" t="n"/>
      <c r="E314" s="14" t="n"/>
      <c r="F314" s="14" t="n"/>
      <c r="G314" s="20">
        <f>IF(AND(E314&lt;&gt;"",F314&lt;&gt;"",F314&lt;&gt;0),E314/F314,"")</f>
        <v/>
      </c>
    </row>
    <row r="315">
      <c r="A315" s="71" t="n"/>
      <c r="B315" s="8" t="n"/>
      <c r="C315" s="8" t="n"/>
      <c r="D315" s="14" t="n"/>
      <c r="E315" s="14" t="n"/>
      <c r="F315" s="14" t="n"/>
      <c r="G315" s="20">
        <f>IF(AND(E315&lt;&gt;"",F315&lt;&gt;"",F315&lt;&gt;0),E315/F315,"")</f>
        <v/>
      </c>
    </row>
    <row r="316">
      <c r="A316" s="71" t="n"/>
      <c r="B316" s="8" t="n"/>
      <c r="C316" s="8" t="n"/>
      <c r="D316" s="14" t="n"/>
      <c r="E316" s="14" t="n"/>
      <c r="F316" s="14" t="n"/>
      <c r="G316" s="20">
        <f>IF(AND(E316&lt;&gt;"",F316&lt;&gt;"",F316&lt;&gt;0),E316/F316,"")</f>
        <v/>
      </c>
    </row>
    <row r="317">
      <c r="A317" s="71" t="n"/>
      <c r="B317" s="8" t="n"/>
      <c r="C317" s="8" t="n"/>
      <c r="D317" s="14" t="n"/>
      <c r="E317" s="14" t="n"/>
      <c r="F317" s="14" t="n"/>
      <c r="G317" s="20">
        <f>IF(AND(E317&lt;&gt;"",F317&lt;&gt;"",F317&lt;&gt;0),E317/F317,"")</f>
        <v/>
      </c>
    </row>
    <row r="318">
      <c r="A318" s="71" t="n"/>
      <c r="B318" s="8" t="n"/>
      <c r="C318" s="8" t="n"/>
      <c r="D318" s="14" t="n"/>
      <c r="E318" s="14" t="n"/>
      <c r="F318" s="14" t="n"/>
      <c r="G318" s="20">
        <f>IF(AND(E318&lt;&gt;"",F318&lt;&gt;"",F318&lt;&gt;0),E318/F318,"")</f>
        <v/>
      </c>
    </row>
    <row r="319">
      <c r="A319" s="71" t="n"/>
      <c r="B319" s="8" t="n"/>
      <c r="C319" s="8" t="n"/>
      <c r="D319" s="14" t="n"/>
      <c r="E319" s="14" t="n"/>
      <c r="F319" s="14" t="n"/>
      <c r="G319" s="20">
        <f>IF(AND(E319&lt;&gt;"",F319&lt;&gt;"",F319&lt;&gt;0),E319/F319,"")</f>
        <v/>
      </c>
    </row>
    <row r="320">
      <c r="A320" s="71" t="n"/>
      <c r="B320" s="8" t="n"/>
      <c r="C320" s="8" t="n"/>
      <c r="D320" s="14" t="n"/>
      <c r="E320" s="14" t="n"/>
      <c r="F320" s="14" t="n"/>
      <c r="G320" s="20">
        <f>IF(AND(E320&lt;&gt;"",F320&lt;&gt;"",F320&lt;&gt;0),E320/F320,"")</f>
        <v/>
      </c>
    </row>
    <row r="321">
      <c r="A321" s="71" t="n"/>
      <c r="B321" s="8" t="n"/>
      <c r="C321" s="8" t="n"/>
      <c r="D321" s="14" t="n"/>
      <c r="E321" s="14" t="n"/>
      <c r="F321" s="14" t="n"/>
      <c r="G321" s="20">
        <f>IF(AND(E321&lt;&gt;"",F321&lt;&gt;"",F321&lt;&gt;0),E321/F321,"")</f>
        <v/>
      </c>
    </row>
    <row r="322">
      <c r="A322" s="71" t="n"/>
      <c r="B322" s="8" t="n"/>
      <c r="C322" s="8" t="n"/>
      <c r="D322" s="14" t="n"/>
      <c r="E322" s="14" t="n"/>
      <c r="F322" s="14" t="n"/>
      <c r="G322" s="20">
        <f>IF(AND(E322&lt;&gt;"",F322&lt;&gt;"",F322&lt;&gt;0),E322/F322,"")</f>
        <v/>
      </c>
    </row>
    <row r="323">
      <c r="A323" s="71" t="n"/>
      <c r="B323" s="8" t="n"/>
      <c r="C323" s="8" t="n"/>
      <c r="D323" s="14" t="n"/>
      <c r="E323" s="14" t="n"/>
      <c r="F323" s="14" t="n"/>
      <c r="G323" s="20">
        <f>IF(AND(E323&lt;&gt;"",F323&lt;&gt;"",F323&lt;&gt;0),E323/F323,"")</f>
        <v/>
      </c>
    </row>
    <row r="324">
      <c r="A324" s="71" t="n"/>
      <c r="B324" s="8" t="n"/>
      <c r="C324" s="8" t="n"/>
      <c r="D324" s="14" t="n"/>
      <c r="E324" s="14" t="n"/>
      <c r="F324" s="14" t="n"/>
      <c r="G324" s="20">
        <f>IF(AND(E324&lt;&gt;"",F324&lt;&gt;"",F324&lt;&gt;0),E324/F324,"")</f>
        <v/>
      </c>
    </row>
    <row r="325">
      <c r="A325" s="71" t="n"/>
      <c r="B325" s="8" t="n"/>
      <c r="C325" s="8" t="n"/>
      <c r="D325" s="14" t="n"/>
      <c r="E325" s="14" t="n"/>
      <c r="F325" s="14" t="n"/>
      <c r="G325" s="20">
        <f>IF(AND(E325&lt;&gt;"",F325&lt;&gt;"",F325&lt;&gt;0),E325/F325,"")</f>
        <v/>
      </c>
    </row>
    <row r="326">
      <c r="A326" s="71" t="n"/>
      <c r="B326" s="8" t="n"/>
      <c r="C326" s="8" t="n"/>
      <c r="D326" s="14" t="n"/>
      <c r="E326" s="14" t="n"/>
      <c r="F326" s="14" t="n"/>
      <c r="G326" s="20">
        <f>IF(AND(E326&lt;&gt;"",F326&lt;&gt;"",F326&lt;&gt;0),E326/F326,"")</f>
        <v/>
      </c>
    </row>
    <row r="327">
      <c r="A327" s="71" t="n"/>
      <c r="B327" s="8" t="n"/>
      <c r="C327" s="8" t="n"/>
      <c r="D327" s="14" t="n"/>
      <c r="E327" s="14" t="n"/>
      <c r="F327" s="14" t="n"/>
      <c r="G327" s="20">
        <f>IF(AND(E327&lt;&gt;"",F327&lt;&gt;"",F327&lt;&gt;0),E327/F327,"")</f>
        <v/>
      </c>
    </row>
    <row r="328">
      <c r="A328" s="71" t="n"/>
      <c r="B328" s="8" t="n"/>
      <c r="C328" s="8" t="n"/>
      <c r="D328" s="14" t="n"/>
      <c r="E328" s="14" t="n"/>
      <c r="F328" s="14" t="n"/>
      <c r="G328" s="20">
        <f>IF(AND(E328&lt;&gt;"",F328&lt;&gt;"",F328&lt;&gt;0),E328/F328,"")</f>
        <v/>
      </c>
    </row>
    <row r="329">
      <c r="A329" s="71" t="n"/>
      <c r="B329" s="8" t="n"/>
      <c r="C329" s="8" t="n"/>
      <c r="D329" s="14" t="n"/>
      <c r="E329" s="14" t="n"/>
      <c r="F329" s="14" t="n"/>
      <c r="G329" s="20">
        <f>IF(AND(E329&lt;&gt;"",F329&lt;&gt;"",F329&lt;&gt;0),E329/F329,"")</f>
        <v/>
      </c>
    </row>
    <row r="330">
      <c r="A330" s="71" t="n"/>
      <c r="B330" s="8" t="n"/>
      <c r="C330" s="8" t="n"/>
      <c r="D330" s="14" t="n"/>
      <c r="E330" s="14" t="n"/>
      <c r="F330" s="14" t="n"/>
      <c r="G330" s="20">
        <f>IF(AND(E330&lt;&gt;"",F330&lt;&gt;"",F330&lt;&gt;0),E330/F330,"")</f>
        <v/>
      </c>
    </row>
    <row r="331">
      <c r="A331" s="71" t="n"/>
      <c r="B331" s="8" t="n"/>
      <c r="C331" s="8" t="n"/>
      <c r="D331" s="14" t="n"/>
      <c r="E331" s="14" t="n"/>
      <c r="F331" s="14" t="n"/>
      <c r="G331" s="20">
        <f>IF(AND(E331&lt;&gt;"",F331&lt;&gt;"",F331&lt;&gt;0),E331/F331,"")</f>
        <v/>
      </c>
    </row>
    <row r="332">
      <c r="A332" s="71" t="n"/>
      <c r="B332" s="8" t="n"/>
      <c r="C332" s="8" t="n"/>
      <c r="D332" s="14" t="n"/>
      <c r="E332" s="14" t="n"/>
      <c r="F332" s="14" t="n"/>
      <c r="G332" s="20">
        <f>IF(AND(E332&lt;&gt;"",F332&lt;&gt;"",F332&lt;&gt;0),E332/F332,"")</f>
        <v/>
      </c>
    </row>
    <row r="333">
      <c r="A333" s="71" t="n"/>
      <c r="B333" s="8" t="n"/>
      <c r="C333" s="8" t="n"/>
      <c r="D333" s="14" t="n"/>
      <c r="E333" s="14" t="n"/>
      <c r="F333" s="14" t="n"/>
      <c r="G333" s="20">
        <f>IF(AND(E333&lt;&gt;"",F333&lt;&gt;"",F333&lt;&gt;0),E333/F333,"")</f>
        <v/>
      </c>
    </row>
    <row r="334">
      <c r="A334" s="71" t="n"/>
      <c r="B334" s="8" t="n"/>
      <c r="C334" s="8" t="n"/>
      <c r="D334" s="14" t="n"/>
      <c r="E334" s="14" t="n"/>
      <c r="F334" s="14" t="n"/>
      <c r="G334" s="20">
        <f>IF(AND(E334&lt;&gt;"",F334&lt;&gt;"",F334&lt;&gt;0),E334/F334,"")</f>
        <v/>
      </c>
    </row>
    <row r="335">
      <c r="A335" s="71" t="n"/>
      <c r="B335" s="8" t="n"/>
      <c r="C335" s="8" t="n"/>
      <c r="D335" s="14" t="n"/>
      <c r="E335" s="14" t="n"/>
      <c r="F335" s="14" t="n"/>
      <c r="G335" s="20">
        <f>IF(AND(E335&lt;&gt;"",F335&lt;&gt;"",F335&lt;&gt;0),E335/F335,"")</f>
        <v/>
      </c>
    </row>
    <row r="336">
      <c r="A336" s="71" t="n"/>
      <c r="B336" s="8" t="n"/>
      <c r="C336" s="8" t="n"/>
      <c r="D336" s="14" t="n"/>
      <c r="E336" s="14" t="n"/>
      <c r="F336" s="14" t="n"/>
      <c r="G336" s="20">
        <f>IF(AND(E336&lt;&gt;"",F336&lt;&gt;"",F336&lt;&gt;0),E336/F336,"")</f>
        <v/>
      </c>
    </row>
    <row r="337">
      <c r="A337" s="71" t="n"/>
      <c r="B337" s="8" t="n"/>
      <c r="C337" s="8" t="n"/>
      <c r="D337" s="14" t="n"/>
      <c r="E337" s="14" t="n"/>
      <c r="F337" s="14" t="n"/>
      <c r="G337" s="20">
        <f>IF(AND(E337&lt;&gt;"",F337&lt;&gt;"",F337&lt;&gt;0),E337/F337,"")</f>
        <v/>
      </c>
    </row>
    <row r="338">
      <c r="A338" s="71" t="n"/>
      <c r="B338" s="8" t="n"/>
      <c r="C338" s="8" t="n"/>
      <c r="D338" s="14" t="n"/>
      <c r="E338" s="14" t="n"/>
      <c r="F338" s="14" t="n"/>
      <c r="G338" s="20">
        <f>IF(AND(E338&lt;&gt;"",F338&lt;&gt;"",F338&lt;&gt;0),E338/F338,"")</f>
        <v/>
      </c>
    </row>
    <row r="339">
      <c r="A339" s="71" t="n"/>
      <c r="B339" s="8" t="n"/>
      <c r="C339" s="8" t="n"/>
      <c r="D339" s="14" t="n"/>
      <c r="E339" s="14" t="n"/>
      <c r="F339" s="14" t="n"/>
      <c r="G339" s="20">
        <f>IF(AND(E339&lt;&gt;"",F339&lt;&gt;"",F339&lt;&gt;0),E339/F339,"")</f>
        <v/>
      </c>
    </row>
    <row r="340">
      <c r="A340" s="71" t="n"/>
      <c r="B340" s="8" t="n"/>
      <c r="C340" s="8" t="n"/>
      <c r="D340" s="14" t="n"/>
      <c r="E340" s="14" t="n"/>
      <c r="F340" s="14" t="n"/>
      <c r="G340" s="20">
        <f>IF(AND(E340&lt;&gt;"",F340&lt;&gt;"",F340&lt;&gt;0),E340/F340,"")</f>
        <v/>
      </c>
    </row>
    <row r="341">
      <c r="A341" s="71" t="n"/>
      <c r="B341" s="8" t="n"/>
      <c r="C341" s="8" t="n"/>
      <c r="D341" s="14" t="n"/>
      <c r="E341" s="14" t="n"/>
      <c r="F341" s="14" t="n"/>
      <c r="G341" s="20">
        <f>IF(AND(E341&lt;&gt;"",F341&lt;&gt;"",F341&lt;&gt;0),E341/F341,"")</f>
        <v/>
      </c>
    </row>
    <row r="342">
      <c r="A342" s="71" t="n"/>
      <c r="B342" s="8" t="n"/>
      <c r="C342" s="8" t="n"/>
      <c r="D342" s="14" t="n"/>
      <c r="E342" s="14" t="n"/>
      <c r="F342" s="14" t="n"/>
      <c r="G342" s="20">
        <f>IF(AND(E342&lt;&gt;"",F342&lt;&gt;"",F342&lt;&gt;0),E342/F342,"")</f>
        <v/>
      </c>
    </row>
    <row r="343">
      <c r="A343" s="71" t="n"/>
      <c r="B343" s="8" t="n"/>
      <c r="C343" s="8" t="n"/>
      <c r="D343" s="14" t="n"/>
      <c r="E343" s="14" t="n"/>
      <c r="F343" s="14" t="n"/>
      <c r="G343" s="20">
        <f>IF(AND(E343&lt;&gt;"",F343&lt;&gt;"",F343&lt;&gt;0),E343/F343,"")</f>
        <v/>
      </c>
    </row>
    <row r="344">
      <c r="A344" s="71" t="n"/>
      <c r="B344" s="8" t="n"/>
      <c r="C344" s="8" t="n"/>
      <c r="D344" s="14" t="n"/>
      <c r="E344" s="14" t="n"/>
      <c r="F344" s="14" t="n"/>
      <c r="G344" s="20">
        <f>IF(AND(E344&lt;&gt;"",F344&lt;&gt;"",F344&lt;&gt;0),E344/F344,"")</f>
        <v/>
      </c>
    </row>
    <row r="345">
      <c r="A345" s="71" t="n"/>
      <c r="B345" s="8" t="n"/>
      <c r="C345" s="8" t="n"/>
      <c r="D345" s="14" t="n"/>
      <c r="E345" s="14" t="n"/>
      <c r="F345" s="14" t="n"/>
      <c r="G345" s="20">
        <f>IF(AND(E345&lt;&gt;"",F345&lt;&gt;"",F345&lt;&gt;0),E345/F345,"")</f>
        <v/>
      </c>
    </row>
    <row r="346">
      <c r="A346" s="71" t="n"/>
      <c r="B346" s="8" t="n"/>
      <c r="C346" s="8" t="n"/>
      <c r="D346" s="14" t="n"/>
      <c r="E346" s="14" t="n"/>
      <c r="F346" s="14" t="n"/>
      <c r="G346" s="20">
        <f>IF(AND(E346&lt;&gt;"",F346&lt;&gt;"",F346&lt;&gt;0),E346/F346,"")</f>
        <v/>
      </c>
    </row>
    <row r="347">
      <c r="A347" s="71" t="n"/>
      <c r="B347" s="8" t="n"/>
      <c r="C347" s="8" t="n"/>
      <c r="D347" s="14" t="n"/>
      <c r="E347" s="14" t="n"/>
      <c r="F347" s="14" t="n"/>
      <c r="G347" s="20">
        <f>IF(AND(E347&lt;&gt;"",F347&lt;&gt;"",F347&lt;&gt;0),E347/F347,"")</f>
        <v/>
      </c>
    </row>
    <row r="348">
      <c r="A348" s="71" t="n"/>
      <c r="B348" s="8" t="n"/>
      <c r="C348" s="8" t="n"/>
      <c r="D348" s="14" t="n"/>
      <c r="E348" s="14" t="n"/>
      <c r="F348" s="14" t="n"/>
      <c r="G348" s="20">
        <f>IF(AND(E348&lt;&gt;"",F348&lt;&gt;"",F348&lt;&gt;0),E348/F348,"")</f>
        <v/>
      </c>
    </row>
    <row r="349">
      <c r="A349" s="71" t="n"/>
      <c r="B349" s="8" t="n"/>
      <c r="C349" s="8" t="n"/>
      <c r="D349" s="14" t="n"/>
      <c r="E349" s="14" t="n"/>
      <c r="F349" s="14" t="n"/>
      <c r="G349" s="20">
        <f>IF(AND(E349&lt;&gt;"",F349&lt;&gt;"",F349&lt;&gt;0),E349/F349,"")</f>
        <v/>
      </c>
    </row>
    <row r="350">
      <c r="A350" s="71" t="n"/>
      <c r="B350" s="8" t="n"/>
      <c r="C350" s="8" t="n"/>
      <c r="D350" s="14" t="n"/>
      <c r="E350" s="14" t="n"/>
      <c r="F350" s="14" t="n"/>
      <c r="G350" s="20">
        <f>IF(AND(E350&lt;&gt;"",F350&lt;&gt;"",F350&lt;&gt;0),E350/F350,"")</f>
        <v/>
      </c>
    </row>
    <row r="351">
      <c r="A351" s="71" t="n"/>
      <c r="B351" s="8" t="n"/>
      <c r="C351" s="8" t="n"/>
      <c r="D351" s="14" t="n"/>
      <c r="E351" s="14" t="n"/>
      <c r="F351" s="14" t="n"/>
      <c r="G351" s="20">
        <f>IF(AND(E351&lt;&gt;"",F351&lt;&gt;"",F351&lt;&gt;0),E351/F351,"")</f>
        <v/>
      </c>
    </row>
    <row r="352">
      <c r="A352" s="71" t="n"/>
      <c r="B352" s="8" t="n"/>
      <c r="C352" s="8" t="n"/>
      <c r="D352" s="14" t="n"/>
      <c r="E352" s="14" t="n"/>
      <c r="F352" s="14" t="n"/>
      <c r="G352" s="20">
        <f>IF(AND(E352&lt;&gt;"",F352&lt;&gt;"",F352&lt;&gt;0),E352/F352,"")</f>
        <v/>
      </c>
    </row>
    <row r="353">
      <c r="A353" s="71" t="n"/>
      <c r="B353" s="8" t="n"/>
      <c r="C353" s="8" t="n"/>
      <c r="D353" s="14" t="n"/>
      <c r="E353" s="14" t="n"/>
      <c r="F353" s="14" t="n"/>
      <c r="G353" s="20">
        <f>IF(AND(E353&lt;&gt;"",F353&lt;&gt;"",F353&lt;&gt;0),E353/F353,"")</f>
        <v/>
      </c>
    </row>
    <row r="354">
      <c r="A354" s="71" t="n"/>
      <c r="B354" s="8" t="n"/>
      <c r="C354" s="8" t="n"/>
      <c r="D354" s="14" t="n"/>
      <c r="E354" s="14" t="n"/>
      <c r="F354" s="14" t="n"/>
      <c r="G354" s="20">
        <f>IF(AND(E354&lt;&gt;"",F354&lt;&gt;"",F354&lt;&gt;0),E354/F354,"")</f>
        <v/>
      </c>
    </row>
    <row r="355">
      <c r="A355" s="71" t="n"/>
      <c r="B355" s="8" t="n"/>
      <c r="C355" s="8" t="n"/>
      <c r="D355" s="14" t="n"/>
      <c r="E355" s="14" t="n"/>
      <c r="F355" s="14" t="n"/>
      <c r="G355" s="20">
        <f>IF(AND(E355&lt;&gt;"",F355&lt;&gt;"",F355&lt;&gt;0),E355/F355,"")</f>
        <v/>
      </c>
    </row>
    <row r="356">
      <c r="A356" s="71" t="n"/>
      <c r="B356" s="8" t="n"/>
      <c r="C356" s="8" t="n"/>
      <c r="D356" s="14" t="n"/>
      <c r="E356" s="14" t="n"/>
      <c r="F356" s="14" t="n"/>
      <c r="G356" s="20">
        <f>IF(AND(E356&lt;&gt;"",F356&lt;&gt;"",F356&lt;&gt;0),E356/F356,"")</f>
        <v/>
      </c>
    </row>
    <row r="357">
      <c r="A357" s="71" t="n"/>
      <c r="B357" s="8" t="n"/>
      <c r="C357" s="8" t="n"/>
      <c r="D357" s="14" t="n"/>
      <c r="E357" s="14" t="n"/>
      <c r="F357" s="14" t="n"/>
      <c r="G357" s="20">
        <f>IF(AND(E357&lt;&gt;"",F357&lt;&gt;"",F357&lt;&gt;0),E357/F357,"")</f>
        <v/>
      </c>
    </row>
    <row r="358">
      <c r="A358" s="71" t="n"/>
      <c r="B358" s="8" t="n"/>
      <c r="C358" s="8" t="n"/>
      <c r="D358" s="14" t="n"/>
      <c r="E358" s="14" t="n"/>
      <c r="F358" s="14" t="n"/>
      <c r="G358" s="20">
        <f>IF(AND(E358&lt;&gt;"",F358&lt;&gt;"",F358&lt;&gt;0),E358/F358,"")</f>
        <v/>
      </c>
    </row>
    <row r="359">
      <c r="A359" s="71" t="n"/>
      <c r="B359" s="8" t="n"/>
      <c r="C359" s="8" t="n"/>
      <c r="D359" s="14" t="n"/>
      <c r="E359" s="14" t="n"/>
      <c r="F359" s="14" t="n"/>
      <c r="G359" s="20">
        <f>IF(AND(E359&lt;&gt;"",F359&lt;&gt;"",F359&lt;&gt;0),E359/F359,"")</f>
        <v/>
      </c>
    </row>
    <row r="360">
      <c r="A360" s="71" t="n"/>
      <c r="B360" s="8" t="n"/>
      <c r="C360" s="8" t="n"/>
      <c r="D360" s="14" t="n"/>
      <c r="E360" s="14" t="n"/>
      <c r="F360" s="14" t="n"/>
      <c r="G360" s="20">
        <f>IF(AND(E360&lt;&gt;"",F360&lt;&gt;"",F360&lt;&gt;0),E360/F360,"")</f>
        <v/>
      </c>
    </row>
    <row r="361">
      <c r="A361" s="71" t="n"/>
      <c r="B361" s="8" t="n"/>
      <c r="C361" s="8" t="n"/>
      <c r="D361" s="14" t="n"/>
      <c r="E361" s="14" t="n"/>
      <c r="F361" s="14" t="n"/>
      <c r="G361" s="20">
        <f>IF(AND(E361&lt;&gt;"",F361&lt;&gt;"",F361&lt;&gt;0),E361/F361,"")</f>
        <v/>
      </c>
    </row>
    <row r="362">
      <c r="A362" s="71" t="n"/>
      <c r="B362" s="8" t="n"/>
      <c r="C362" s="8" t="n"/>
      <c r="D362" s="14" t="n"/>
      <c r="E362" s="14" t="n"/>
      <c r="F362" s="14" t="n"/>
      <c r="G362" s="20">
        <f>IF(AND(E362&lt;&gt;"",F362&lt;&gt;"",F362&lt;&gt;0),E362/F362,"")</f>
        <v/>
      </c>
    </row>
    <row r="363">
      <c r="A363" s="71" t="n"/>
      <c r="B363" s="8" t="n"/>
      <c r="C363" s="8" t="n"/>
      <c r="D363" s="14" t="n"/>
      <c r="E363" s="14" t="n"/>
      <c r="F363" s="14" t="n"/>
      <c r="G363" s="20">
        <f>IF(AND(E363&lt;&gt;"",F363&lt;&gt;"",F363&lt;&gt;0),E363/F363,"")</f>
        <v/>
      </c>
    </row>
    <row r="364">
      <c r="A364" s="71" t="n"/>
      <c r="B364" s="8" t="n"/>
      <c r="C364" s="8" t="n"/>
      <c r="D364" s="14" t="n"/>
      <c r="E364" s="14" t="n"/>
      <c r="F364" s="14" t="n"/>
      <c r="G364" s="20">
        <f>IF(AND(E364&lt;&gt;"",F364&lt;&gt;"",F364&lt;&gt;0),E364/F364,"")</f>
        <v/>
      </c>
    </row>
    <row r="365">
      <c r="A365" s="71" t="n"/>
      <c r="B365" s="8" t="n"/>
      <c r="C365" s="8" t="n"/>
      <c r="D365" s="14" t="n"/>
      <c r="E365" s="14" t="n"/>
      <c r="F365" s="14" t="n"/>
      <c r="G365" s="20">
        <f>IF(AND(E365&lt;&gt;"",F365&lt;&gt;"",F365&lt;&gt;0),E365/F365,"")</f>
        <v/>
      </c>
    </row>
    <row r="366">
      <c r="A366" s="71" t="n"/>
      <c r="B366" s="8" t="n"/>
      <c r="C366" s="8" t="n"/>
      <c r="D366" s="14" t="n"/>
      <c r="E366" s="14" t="n"/>
      <c r="F366" s="14" t="n"/>
      <c r="G366" s="20">
        <f>IF(AND(E366&lt;&gt;"",F366&lt;&gt;"",F366&lt;&gt;0),E366/F366,"")</f>
        <v/>
      </c>
    </row>
    <row r="367">
      <c r="A367" s="71" t="n"/>
      <c r="B367" s="8" t="n"/>
      <c r="C367" s="8" t="n"/>
      <c r="D367" s="14" t="n"/>
      <c r="E367" s="14" t="n"/>
      <c r="F367" s="14" t="n"/>
      <c r="G367" s="20">
        <f>IF(AND(E367&lt;&gt;"",F367&lt;&gt;"",F367&lt;&gt;0),E367/F367,"")</f>
        <v/>
      </c>
    </row>
    <row r="368">
      <c r="A368" s="71" t="n"/>
      <c r="B368" s="8" t="n"/>
      <c r="C368" s="8" t="n"/>
      <c r="D368" s="14" t="n"/>
      <c r="E368" s="14" t="n"/>
      <c r="F368" s="14" t="n"/>
      <c r="G368" s="20">
        <f>IF(AND(E368&lt;&gt;"",F368&lt;&gt;"",F368&lt;&gt;0),E368/F368,"")</f>
        <v/>
      </c>
    </row>
    <row r="369">
      <c r="A369" s="71" t="n"/>
      <c r="B369" s="8" t="n"/>
      <c r="C369" s="8" t="n"/>
      <c r="D369" s="14" t="n"/>
      <c r="E369" s="14" t="n"/>
      <c r="F369" s="14" t="n"/>
      <c r="G369" s="20">
        <f>IF(AND(E369&lt;&gt;"",F369&lt;&gt;"",F369&lt;&gt;0),E369/F369,"")</f>
        <v/>
      </c>
    </row>
    <row r="370">
      <c r="A370" s="71" t="n"/>
      <c r="B370" s="8" t="n"/>
      <c r="C370" s="8" t="n"/>
      <c r="D370" s="14" t="n"/>
      <c r="E370" s="14" t="n"/>
      <c r="F370" s="14" t="n"/>
      <c r="G370" s="20">
        <f>IF(AND(E370&lt;&gt;"",F370&lt;&gt;"",F370&lt;&gt;0),E370/F370,"")</f>
        <v/>
      </c>
    </row>
    <row r="371">
      <c r="A371" s="71" t="n"/>
      <c r="B371" s="8" t="n"/>
      <c r="C371" s="8" t="n"/>
      <c r="D371" s="14" t="n"/>
      <c r="E371" s="14" t="n"/>
      <c r="F371" s="14" t="n"/>
      <c r="G371" s="20">
        <f>IF(AND(E371&lt;&gt;"",F371&lt;&gt;"",F371&lt;&gt;0),E371/F371,"")</f>
        <v/>
      </c>
    </row>
    <row r="372">
      <c r="A372" s="71" t="n"/>
      <c r="B372" s="8" t="n"/>
      <c r="C372" s="8" t="n"/>
      <c r="D372" s="14" t="n"/>
      <c r="E372" s="14" t="n"/>
      <c r="F372" s="14" t="n"/>
      <c r="G372" s="20">
        <f>IF(AND(E372&lt;&gt;"",F372&lt;&gt;"",F372&lt;&gt;0),E372/F372,"")</f>
        <v/>
      </c>
    </row>
    <row r="373">
      <c r="A373" s="71" t="n"/>
      <c r="B373" s="8" t="n"/>
      <c r="C373" s="8" t="n"/>
      <c r="D373" s="14" t="n"/>
      <c r="E373" s="14" t="n"/>
      <c r="F373" s="14" t="n"/>
      <c r="G373" s="20">
        <f>IF(AND(E373&lt;&gt;"",F373&lt;&gt;"",F373&lt;&gt;0),E373/F373,"")</f>
        <v/>
      </c>
    </row>
    <row r="374">
      <c r="A374" s="71" t="n"/>
      <c r="B374" s="8" t="n"/>
      <c r="C374" s="8" t="n"/>
      <c r="D374" s="14" t="n"/>
      <c r="E374" s="14" t="n"/>
      <c r="F374" s="14" t="n"/>
      <c r="G374" s="20">
        <f>IF(AND(E374&lt;&gt;"",F374&lt;&gt;"",F374&lt;&gt;0),E374/F374,"")</f>
        <v/>
      </c>
    </row>
    <row r="375">
      <c r="A375" s="71" t="n"/>
      <c r="B375" s="8" t="n"/>
      <c r="C375" s="8" t="n"/>
      <c r="D375" s="14" t="n"/>
      <c r="E375" s="14" t="n"/>
      <c r="F375" s="14" t="n"/>
      <c r="G375" s="20">
        <f>IF(AND(E375&lt;&gt;"",F375&lt;&gt;"",F375&lt;&gt;0),E375/F375,"")</f>
        <v/>
      </c>
    </row>
    <row r="376">
      <c r="A376" s="71" t="n"/>
      <c r="B376" s="8" t="n"/>
      <c r="C376" s="8" t="n"/>
      <c r="D376" s="14" t="n"/>
      <c r="E376" s="14" t="n"/>
      <c r="F376" s="14" t="n"/>
      <c r="G376" s="20">
        <f>IF(AND(E376&lt;&gt;"",F376&lt;&gt;"",F376&lt;&gt;0),E376/F376,"")</f>
        <v/>
      </c>
    </row>
    <row r="377">
      <c r="A377" s="71" t="n"/>
      <c r="B377" s="8" t="n"/>
      <c r="C377" s="8" t="n"/>
      <c r="D377" s="14" t="n"/>
      <c r="E377" s="14" t="n"/>
      <c r="F377" s="14" t="n"/>
      <c r="G377" s="20">
        <f>IF(AND(E377&lt;&gt;"",F377&lt;&gt;"",F377&lt;&gt;0),E377/F377,"")</f>
        <v/>
      </c>
    </row>
    <row r="378">
      <c r="A378" s="71" t="n"/>
      <c r="B378" s="8" t="n"/>
      <c r="C378" s="8" t="n"/>
      <c r="D378" s="14" t="n"/>
      <c r="E378" s="14" t="n"/>
      <c r="F378" s="14" t="n"/>
      <c r="G378" s="20">
        <f>IF(AND(E378&lt;&gt;"",F378&lt;&gt;"",F378&lt;&gt;0),E378/F378,"")</f>
        <v/>
      </c>
    </row>
    <row r="379">
      <c r="A379" s="71" t="n"/>
      <c r="B379" s="8" t="n"/>
      <c r="C379" s="8" t="n"/>
      <c r="D379" s="14" t="n"/>
      <c r="E379" s="14" t="n"/>
      <c r="F379" s="14" t="n"/>
      <c r="G379" s="20">
        <f>IF(AND(E379&lt;&gt;"",F379&lt;&gt;"",F379&lt;&gt;0),E379/F379,"")</f>
        <v/>
      </c>
    </row>
    <row r="380">
      <c r="A380" s="71" t="n"/>
      <c r="B380" s="8" t="n"/>
      <c r="C380" s="8" t="n"/>
      <c r="D380" s="14" t="n"/>
      <c r="E380" s="14" t="n"/>
      <c r="F380" s="14" t="n"/>
      <c r="G380" s="20">
        <f>IF(AND(E380&lt;&gt;"",F380&lt;&gt;"",F380&lt;&gt;0),E380/F380,"")</f>
        <v/>
      </c>
    </row>
    <row r="381">
      <c r="A381" s="71" t="n"/>
      <c r="B381" s="8" t="n"/>
      <c r="C381" s="8" t="n"/>
      <c r="D381" s="14" t="n"/>
      <c r="E381" s="14" t="n"/>
      <c r="F381" s="14" t="n"/>
      <c r="G381" s="20">
        <f>IF(AND(E381&lt;&gt;"",F381&lt;&gt;"",F381&lt;&gt;0),E381/F381,"")</f>
        <v/>
      </c>
    </row>
    <row r="382">
      <c r="A382" s="71" t="n"/>
      <c r="B382" s="8" t="n"/>
      <c r="C382" s="8" t="n"/>
      <c r="D382" s="14" t="n"/>
      <c r="E382" s="14" t="n"/>
      <c r="F382" s="14" t="n"/>
      <c r="G382" s="20">
        <f>IF(AND(E382&lt;&gt;"",F382&lt;&gt;"",F382&lt;&gt;0),E382/F382,"")</f>
        <v/>
      </c>
    </row>
    <row r="383">
      <c r="A383" s="71" t="n"/>
      <c r="B383" s="8" t="n"/>
      <c r="C383" s="8" t="n"/>
      <c r="D383" s="14" t="n"/>
      <c r="E383" s="14" t="n"/>
      <c r="F383" s="14" t="n"/>
      <c r="G383" s="20">
        <f>IF(AND(E383&lt;&gt;"",F383&lt;&gt;"",F383&lt;&gt;0),E383/F383,"")</f>
        <v/>
      </c>
    </row>
    <row r="384">
      <c r="A384" s="71" t="n"/>
      <c r="B384" s="8" t="n"/>
      <c r="C384" s="8" t="n"/>
      <c r="D384" s="14" t="n"/>
      <c r="E384" s="14" t="n"/>
      <c r="F384" s="14" t="n"/>
      <c r="G384" s="20">
        <f>IF(AND(E384&lt;&gt;"",F384&lt;&gt;"",F384&lt;&gt;0),E384/F384,"")</f>
        <v/>
      </c>
    </row>
    <row r="385">
      <c r="A385" s="71" t="n"/>
      <c r="B385" s="8" t="n"/>
      <c r="C385" s="8" t="n"/>
      <c r="D385" s="14" t="n"/>
      <c r="E385" s="14" t="n"/>
      <c r="F385" s="14" t="n"/>
      <c r="G385" s="20">
        <f>IF(AND(E385&lt;&gt;"",F385&lt;&gt;"",F385&lt;&gt;0),E385/F385,"")</f>
        <v/>
      </c>
    </row>
    <row r="386">
      <c r="A386" s="71" t="n"/>
      <c r="B386" s="8" t="n"/>
      <c r="C386" s="8" t="n"/>
      <c r="D386" s="14" t="n"/>
      <c r="E386" s="14" t="n"/>
      <c r="F386" s="14" t="n"/>
      <c r="G386" s="20">
        <f>IF(AND(E386&lt;&gt;"",F386&lt;&gt;"",F386&lt;&gt;0),E386/F386,"")</f>
        <v/>
      </c>
    </row>
    <row r="387">
      <c r="A387" s="71" t="n"/>
      <c r="B387" s="8" t="n"/>
      <c r="C387" s="8" t="n"/>
      <c r="D387" s="14" t="n"/>
      <c r="E387" s="14" t="n"/>
      <c r="F387" s="14" t="n"/>
      <c r="G387" s="20">
        <f>IF(AND(E387&lt;&gt;"",F387&lt;&gt;"",F387&lt;&gt;0),E387/F387,"")</f>
        <v/>
      </c>
    </row>
    <row r="388">
      <c r="A388" s="71" t="n"/>
      <c r="B388" s="8" t="n"/>
      <c r="C388" s="8" t="n"/>
      <c r="D388" s="14" t="n"/>
      <c r="E388" s="14" t="n"/>
      <c r="F388" s="14" t="n"/>
      <c r="G388" s="20">
        <f>IF(AND(E388&lt;&gt;"",F388&lt;&gt;"",F388&lt;&gt;0),E388/F388,"")</f>
        <v/>
      </c>
    </row>
    <row r="389">
      <c r="A389" s="71" t="n"/>
      <c r="B389" s="8" t="n"/>
      <c r="C389" s="8" t="n"/>
      <c r="D389" s="14" t="n"/>
      <c r="E389" s="14" t="n"/>
      <c r="F389" s="14" t="n"/>
      <c r="G389" s="20">
        <f>IF(AND(E389&lt;&gt;"",F389&lt;&gt;"",F389&lt;&gt;0),E389/F389,"")</f>
        <v/>
      </c>
    </row>
    <row r="390">
      <c r="A390" s="71" t="n"/>
      <c r="B390" s="8" t="n"/>
      <c r="C390" s="8" t="n"/>
      <c r="D390" s="14" t="n"/>
      <c r="E390" s="14" t="n"/>
      <c r="F390" s="14" t="n"/>
      <c r="G390" s="20">
        <f>IF(AND(E390&lt;&gt;"",F390&lt;&gt;"",F390&lt;&gt;0),E390/F390,"")</f>
        <v/>
      </c>
    </row>
    <row r="391">
      <c r="A391" s="71" t="n"/>
      <c r="B391" s="8" t="n"/>
      <c r="C391" s="8" t="n"/>
      <c r="D391" s="14" t="n"/>
      <c r="E391" s="14" t="n"/>
      <c r="F391" s="14" t="n"/>
      <c r="G391" s="20">
        <f>IF(AND(E391&lt;&gt;"",F391&lt;&gt;"",F391&lt;&gt;0),E391/F391,"")</f>
        <v/>
      </c>
    </row>
    <row r="392">
      <c r="A392" s="71" t="n"/>
      <c r="B392" s="8" t="n"/>
      <c r="C392" s="8" t="n"/>
      <c r="D392" s="14" t="n"/>
      <c r="E392" s="14" t="n"/>
      <c r="F392" s="14" t="n"/>
      <c r="G392" s="20">
        <f>IF(AND(E392&lt;&gt;"",F392&lt;&gt;"",F392&lt;&gt;0),E392/F392,"")</f>
        <v/>
      </c>
    </row>
    <row r="393">
      <c r="A393" s="71" t="n"/>
      <c r="B393" s="8" t="n"/>
      <c r="C393" s="8" t="n"/>
      <c r="D393" s="14" t="n"/>
      <c r="E393" s="14" t="n"/>
      <c r="F393" s="14" t="n"/>
      <c r="G393" s="20">
        <f>IF(AND(E393&lt;&gt;"",F393&lt;&gt;"",F393&lt;&gt;0),E393/F393,"")</f>
        <v/>
      </c>
    </row>
    <row r="394">
      <c r="A394" s="71" t="n"/>
      <c r="B394" s="8" t="n"/>
      <c r="C394" s="8" t="n"/>
      <c r="D394" s="14" t="n"/>
      <c r="E394" s="14" t="n"/>
      <c r="F394" s="14" t="n"/>
      <c r="G394" s="20">
        <f>IF(AND(E394&lt;&gt;"",F394&lt;&gt;"",F394&lt;&gt;0),E394/F394,"")</f>
        <v/>
      </c>
    </row>
    <row r="395">
      <c r="A395" s="71" t="n"/>
      <c r="B395" s="8" t="n"/>
      <c r="C395" s="8" t="n"/>
      <c r="D395" s="14" t="n"/>
      <c r="E395" s="14" t="n"/>
      <c r="F395" s="14" t="n"/>
      <c r="G395" s="20">
        <f>IF(AND(E395&lt;&gt;"",F395&lt;&gt;"",F395&lt;&gt;0),E395/F395,"")</f>
        <v/>
      </c>
    </row>
    <row r="396">
      <c r="A396" s="71" t="n"/>
      <c r="B396" s="8" t="n"/>
      <c r="C396" s="8" t="n"/>
      <c r="D396" s="14" t="n"/>
      <c r="E396" s="14" t="n"/>
      <c r="F396" s="14" t="n"/>
      <c r="G396" s="20">
        <f>IF(AND(E396&lt;&gt;"",F396&lt;&gt;"",F396&lt;&gt;0),E396/F396,"")</f>
        <v/>
      </c>
    </row>
    <row r="397">
      <c r="A397" s="71" t="n"/>
      <c r="B397" s="8" t="n"/>
      <c r="C397" s="8" t="n"/>
      <c r="D397" s="14" t="n"/>
      <c r="E397" s="14" t="n"/>
      <c r="F397" s="14" t="n"/>
      <c r="G397" s="20">
        <f>IF(AND(E397&lt;&gt;"",F397&lt;&gt;"",F397&lt;&gt;0),E397/F397,"")</f>
        <v/>
      </c>
    </row>
    <row r="398">
      <c r="A398" s="71" t="n"/>
      <c r="B398" s="8" t="n"/>
      <c r="C398" s="8" t="n"/>
      <c r="D398" s="14" t="n"/>
      <c r="E398" s="14" t="n"/>
      <c r="F398" s="14" t="n"/>
      <c r="G398" s="20">
        <f>IF(AND(E398&lt;&gt;"",F398&lt;&gt;"",F398&lt;&gt;0),E398/F398,"")</f>
        <v/>
      </c>
    </row>
    <row r="399">
      <c r="A399" s="71" t="n"/>
      <c r="B399" s="8" t="n"/>
      <c r="C399" s="8" t="n"/>
      <c r="D399" s="14" t="n"/>
      <c r="E399" s="14" t="n"/>
      <c r="F399" s="14" t="n"/>
      <c r="G399" s="20">
        <f>IF(AND(E399&lt;&gt;"",F399&lt;&gt;"",F399&lt;&gt;0),E399/F399,"")</f>
        <v/>
      </c>
    </row>
    <row r="400">
      <c r="A400" s="71" t="n"/>
      <c r="B400" s="8" t="n"/>
      <c r="C400" s="8" t="n"/>
      <c r="D400" s="14" t="n"/>
      <c r="E400" s="14" t="n"/>
      <c r="F400" s="14" t="n"/>
      <c r="G400" s="20">
        <f>IF(AND(E400&lt;&gt;"",F400&lt;&gt;"",F400&lt;&gt;0),E400/F400,"")</f>
        <v/>
      </c>
    </row>
    <row r="401">
      <c r="A401" s="71" t="n"/>
      <c r="B401" s="8" t="n"/>
      <c r="C401" s="8" t="n"/>
      <c r="D401" s="14" t="n"/>
      <c r="E401" s="14" t="n"/>
      <c r="F401" s="14" t="n"/>
      <c r="G401" s="20">
        <f>IF(AND(E401&lt;&gt;"",F401&lt;&gt;"",F401&lt;&gt;0),E401/F401,"")</f>
        <v/>
      </c>
    </row>
    <row r="402">
      <c r="A402" s="71" t="n"/>
      <c r="B402" s="8" t="n"/>
      <c r="C402" s="8" t="n"/>
      <c r="D402" s="14" t="n"/>
      <c r="E402" s="14" t="n"/>
      <c r="F402" s="14" t="n"/>
      <c r="G402" s="20">
        <f>IF(AND(E402&lt;&gt;"",F402&lt;&gt;"",F402&lt;&gt;0),E402/F402,"")</f>
        <v/>
      </c>
    </row>
    <row r="403">
      <c r="A403" s="71" t="n"/>
      <c r="B403" s="8" t="n"/>
      <c r="C403" s="8" t="n"/>
      <c r="D403" s="14" t="n"/>
      <c r="E403" s="14" t="n"/>
      <c r="F403" s="14" t="n"/>
      <c r="G403" s="20">
        <f>IF(AND(E403&lt;&gt;"",F403&lt;&gt;"",F403&lt;&gt;0),E403/F403,"")</f>
        <v/>
      </c>
    </row>
    <row r="404">
      <c r="A404" s="71" t="n"/>
      <c r="B404" s="8" t="n"/>
      <c r="C404" s="8" t="n"/>
      <c r="D404" s="14" t="n"/>
      <c r="E404" s="14" t="n"/>
      <c r="F404" s="14" t="n"/>
      <c r="G404" s="20">
        <f>IF(AND(E404&lt;&gt;"",F404&lt;&gt;"",F404&lt;&gt;0),E404/F404,"")</f>
        <v/>
      </c>
    </row>
    <row r="405">
      <c r="A405" s="71" t="n"/>
      <c r="B405" s="8" t="n"/>
      <c r="C405" s="8" t="n"/>
      <c r="D405" s="14" t="n"/>
      <c r="E405" s="14" t="n"/>
      <c r="F405" s="14" t="n"/>
      <c r="G405" s="20">
        <f>IF(AND(E405&lt;&gt;"",F405&lt;&gt;"",F405&lt;&gt;0),E405/F405,"")</f>
        <v/>
      </c>
    </row>
    <row r="406">
      <c r="A406" s="71" t="n"/>
      <c r="B406" s="8" t="n"/>
      <c r="C406" s="8" t="n"/>
      <c r="D406" s="14" t="n"/>
      <c r="E406" s="14" t="n"/>
      <c r="F406" s="14" t="n"/>
      <c r="G406" s="20">
        <f>IF(AND(E406&lt;&gt;"",F406&lt;&gt;"",F406&lt;&gt;0),E406/F406,"")</f>
        <v/>
      </c>
    </row>
    <row r="407">
      <c r="A407" s="71" t="n"/>
      <c r="B407" s="8" t="n"/>
      <c r="C407" s="8" t="n"/>
      <c r="D407" s="14" t="n"/>
      <c r="E407" s="14" t="n"/>
      <c r="F407" s="14" t="n"/>
      <c r="G407" s="20">
        <f>IF(AND(E407&lt;&gt;"",F407&lt;&gt;"",F407&lt;&gt;0),E407/F407,"")</f>
        <v/>
      </c>
    </row>
    <row r="408">
      <c r="A408" s="71" t="n"/>
      <c r="B408" s="8" t="n"/>
      <c r="C408" s="8" t="n"/>
      <c r="D408" s="14" t="n"/>
      <c r="E408" s="14" t="n"/>
      <c r="F408" s="14" t="n"/>
      <c r="G408" s="20">
        <f>IF(AND(E408&lt;&gt;"",F408&lt;&gt;"",F408&lt;&gt;0),E408/F408,"")</f>
        <v/>
      </c>
    </row>
    <row r="409">
      <c r="A409" s="71" t="n"/>
      <c r="B409" s="8" t="n"/>
      <c r="C409" s="8" t="n"/>
      <c r="D409" s="14" t="n"/>
      <c r="E409" s="14" t="n"/>
      <c r="F409" s="14" t="n"/>
      <c r="G409" s="20">
        <f>IF(AND(E409&lt;&gt;"",F409&lt;&gt;"",F409&lt;&gt;0),E409/F409,"")</f>
        <v/>
      </c>
    </row>
    <row r="410">
      <c r="A410" s="71" t="n"/>
      <c r="B410" s="8" t="n"/>
      <c r="C410" s="8" t="n"/>
      <c r="D410" s="14" t="n"/>
      <c r="E410" s="14" t="n"/>
      <c r="F410" s="14" t="n"/>
      <c r="G410" s="20">
        <f>IF(AND(E410&lt;&gt;"",F410&lt;&gt;"",F410&lt;&gt;0),E410/F410,"")</f>
        <v/>
      </c>
    </row>
    <row r="411">
      <c r="A411" s="71" t="n"/>
      <c r="B411" s="8" t="n"/>
      <c r="C411" s="8" t="n"/>
      <c r="D411" s="14" t="n"/>
      <c r="E411" s="14" t="n"/>
      <c r="F411" s="14" t="n"/>
      <c r="G411" s="20">
        <f>IF(AND(E411&lt;&gt;"",F411&lt;&gt;"",F411&lt;&gt;0),E411/F411,"")</f>
        <v/>
      </c>
    </row>
    <row r="412">
      <c r="A412" s="71" t="n"/>
      <c r="B412" s="8" t="n"/>
      <c r="C412" s="8" t="n"/>
      <c r="D412" s="14" t="n"/>
      <c r="E412" s="14" t="n"/>
      <c r="F412" s="14" t="n"/>
      <c r="G412" s="20">
        <f>IF(AND(E412&lt;&gt;"",F412&lt;&gt;"",F412&lt;&gt;0),E412/F412,"")</f>
        <v/>
      </c>
    </row>
    <row r="413">
      <c r="A413" s="71" t="n"/>
      <c r="B413" s="8" t="n"/>
      <c r="C413" s="8" t="n"/>
      <c r="D413" s="14" t="n"/>
      <c r="E413" s="14" t="n"/>
      <c r="F413" s="14" t="n"/>
      <c r="G413" s="20">
        <f>IF(AND(E413&lt;&gt;"",F413&lt;&gt;"",F413&lt;&gt;0),E413/F413,"")</f>
        <v/>
      </c>
    </row>
    <row r="414">
      <c r="A414" s="71" t="n"/>
      <c r="B414" s="8" t="n"/>
      <c r="C414" s="8" t="n"/>
      <c r="D414" s="14" t="n"/>
      <c r="E414" s="14" t="n"/>
      <c r="F414" s="14" t="n"/>
      <c r="G414" s="20">
        <f>IF(AND(E414&lt;&gt;"",F414&lt;&gt;"",F414&lt;&gt;0),E414/F414,"")</f>
        <v/>
      </c>
    </row>
    <row r="415">
      <c r="A415" s="71" t="n"/>
      <c r="B415" s="8" t="n"/>
      <c r="C415" s="8" t="n"/>
      <c r="D415" s="14" t="n"/>
      <c r="E415" s="14" t="n"/>
      <c r="F415" s="14" t="n"/>
      <c r="G415" s="20">
        <f>IF(AND(E415&lt;&gt;"",F415&lt;&gt;"",F415&lt;&gt;0),E415/F415,"")</f>
        <v/>
      </c>
    </row>
    <row r="416">
      <c r="A416" s="71" t="n"/>
      <c r="B416" s="8" t="n"/>
      <c r="C416" s="8" t="n"/>
      <c r="D416" s="14" t="n"/>
      <c r="E416" s="14" t="n"/>
      <c r="F416" s="14" t="n"/>
      <c r="G416" s="20">
        <f>IF(AND(E416&lt;&gt;"",F416&lt;&gt;"",F416&lt;&gt;0),E416/F416,"")</f>
        <v/>
      </c>
    </row>
    <row r="417">
      <c r="A417" s="71" t="n"/>
      <c r="B417" s="8" t="n"/>
      <c r="C417" s="8" t="n"/>
      <c r="D417" s="14" t="n"/>
      <c r="E417" s="14" t="n"/>
      <c r="F417" s="14" t="n"/>
      <c r="G417" s="20">
        <f>IF(AND(E417&lt;&gt;"",F417&lt;&gt;"",F417&lt;&gt;0),E417/F417,"")</f>
        <v/>
      </c>
    </row>
    <row r="418">
      <c r="A418" s="71" t="n"/>
      <c r="B418" s="8" t="n"/>
      <c r="C418" s="8" t="n"/>
      <c r="D418" s="14" t="n"/>
      <c r="E418" s="14" t="n"/>
      <c r="F418" s="14" t="n"/>
      <c r="G418" s="20">
        <f>IF(AND(E418&lt;&gt;"",F418&lt;&gt;"",F418&lt;&gt;0),E418/F418,"")</f>
        <v/>
      </c>
    </row>
    <row r="419">
      <c r="A419" s="71" t="n"/>
      <c r="B419" s="8" t="n"/>
      <c r="C419" s="8" t="n"/>
      <c r="D419" s="14" t="n"/>
      <c r="E419" s="14" t="n"/>
      <c r="F419" s="14" t="n"/>
      <c r="G419" s="20">
        <f>IF(AND(E419&lt;&gt;"",F419&lt;&gt;"",F419&lt;&gt;0),E419/F419,"")</f>
        <v/>
      </c>
    </row>
    <row r="420">
      <c r="A420" s="71" t="n"/>
      <c r="B420" s="8" t="n"/>
      <c r="C420" s="8" t="n"/>
      <c r="D420" s="14" t="n"/>
      <c r="E420" s="14" t="n"/>
      <c r="F420" s="14" t="n"/>
      <c r="G420" s="20">
        <f>IF(AND(E420&lt;&gt;"",F420&lt;&gt;"",F420&lt;&gt;0),E420/F420,"")</f>
        <v/>
      </c>
    </row>
    <row r="421">
      <c r="A421" s="71" t="n"/>
      <c r="B421" s="8" t="n"/>
      <c r="C421" s="8" t="n"/>
      <c r="D421" s="14" t="n"/>
      <c r="E421" s="14" t="n"/>
      <c r="F421" s="14" t="n"/>
      <c r="G421" s="20">
        <f>IF(AND(E421&lt;&gt;"",F421&lt;&gt;"",F421&lt;&gt;0),E421/F421,"")</f>
        <v/>
      </c>
    </row>
    <row r="422">
      <c r="A422" s="71" t="n"/>
      <c r="B422" s="8" t="n"/>
      <c r="C422" s="8" t="n"/>
      <c r="D422" s="14" t="n"/>
      <c r="E422" s="14" t="n"/>
      <c r="F422" s="14" t="n"/>
      <c r="G422" s="20">
        <f>IF(AND(E422&lt;&gt;"",F422&lt;&gt;"",F422&lt;&gt;0),E422/F422,"")</f>
        <v/>
      </c>
    </row>
    <row r="423">
      <c r="A423" s="71" t="n"/>
      <c r="B423" s="8" t="n"/>
      <c r="C423" s="8" t="n"/>
      <c r="D423" s="14" t="n"/>
      <c r="E423" s="14" t="n"/>
      <c r="F423" s="14" t="n"/>
      <c r="G423" s="20">
        <f>IF(AND(E423&lt;&gt;"",F423&lt;&gt;"",F423&lt;&gt;0),E423/F423,"")</f>
        <v/>
      </c>
    </row>
    <row r="424">
      <c r="A424" s="71" t="n"/>
      <c r="B424" s="8" t="n"/>
      <c r="C424" s="8" t="n"/>
      <c r="D424" s="14" t="n"/>
      <c r="E424" s="14" t="n"/>
      <c r="F424" s="14" t="n"/>
      <c r="G424" s="20">
        <f>IF(AND(E424&lt;&gt;"",F424&lt;&gt;"",F424&lt;&gt;0),E424/F424,"")</f>
        <v/>
      </c>
    </row>
    <row r="425">
      <c r="A425" s="71" t="n"/>
      <c r="B425" s="8" t="n"/>
      <c r="C425" s="8" t="n"/>
      <c r="D425" s="14" t="n"/>
      <c r="E425" s="14" t="n"/>
      <c r="F425" s="14" t="n"/>
      <c r="G425" s="20">
        <f>IF(AND(E425&lt;&gt;"",F425&lt;&gt;"",F425&lt;&gt;0),E425/F425,"")</f>
        <v/>
      </c>
    </row>
    <row r="426">
      <c r="A426" s="71" t="n"/>
      <c r="B426" s="8" t="n"/>
      <c r="C426" s="8" t="n"/>
      <c r="D426" s="14" t="n"/>
      <c r="E426" s="14" t="n"/>
      <c r="F426" s="14" t="n"/>
      <c r="G426" s="20">
        <f>IF(AND(E426&lt;&gt;"",F426&lt;&gt;"",F426&lt;&gt;0),E426/F426,"")</f>
        <v/>
      </c>
    </row>
    <row r="427">
      <c r="A427" s="71" t="n"/>
      <c r="B427" s="8" t="n"/>
      <c r="C427" s="8" t="n"/>
      <c r="D427" s="14" t="n"/>
      <c r="E427" s="14" t="n"/>
      <c r="F427" s="14" t="n"/>
      <c r="G427" s="20">
        <f>IF(AND(E427&lt;&gt;"",F427&lt;&gt;"",F427&lt;&gt;0),E427/F427,"")</f>
        <v/>
      </c>
    </row>
    <row r="428">
      <c r="A428" s="71" t="n"/>
      <c r="B428" s="8" t="n"/>
      <c r="C428" s="8" t="n"/>
      <c r="D428" s="14" t="n"/>
      <c r="E428" s="14" t="n"/>
      <c r="F428" s="14" t="n"/>
      <c r="G428" s="20">
        <f>IF(AND(E428&lt;&gt;"",F428&lt;&gt;"",F428&lt;&gt;0),E428/F428,"")</f>
        <v/>
      </c>
    </row>
    <row r="429">
      <c r="A429" s="71" t="n"/>
      <c r="B429" s="8" t="n"/>
      <c r="C429" s="8" t="n"/>
      <c r="D429" s="14" t="n"/>
      <c r="E429" s="14" t="n"/>
      <c r="F429" s="14" t="n"/>
      <c r="G429" s="20">
        <f>IF(AND(E429&lt;&gt;"",F429&lt;&gt;"",F429&lt;&gt;0),E429/F429,"")</f>
        <v/>
      </c>
    </row>
    <row r="430">
      <c r="A430" s="71" t="n"/>
      <c r="B430" s="8" t="n"/>
      <c r="C430" s="8" t="n"/>
      <c r="D430" s="14" t="n"/>
      <c r="E430" s="14" t="n"/>
      <c r="F430" s="14" t="n"/>
      <c r="G430" s="20">
        <f>IF(AND(E430&lt;&gt;"",F430&lt;&gt;"",F430&lt;&gt;0),E430/F430,"")</f>
        <v/>
      </c>
    </row>
    <row r="431">
      <c r="A431" s="71" t="n"/>
      <c r="B431" s="8" t="n"/>
      <c r="C431" s="8" t="n"/>
      <c r="D431" s="14" t="n"/>
      <c r="E431" s="14" t="n"/>
      <c r="F431" s="14" t="n"/>
      <c r="G431" s="20">
        <f>IF(AND(E431&lt;&gt;"",F431&lt;&gt;"",F431&lt;&gt;0),E431/F431,"")</f>
        <v/>
      </c>
    </row>
    <row r="432">
      <c r="A432" s="71" t="n"/>
      <c r="B432" s="8" t="n"/>
      <c r="C432" s="8" t="n"/>
      <c r="D432" s="14" t="n"/>
      <c r="E432" s="14" t="n"/>
      <c r="F432" s="14" t="n"/>
      <c r="G432" s="20">
        <f>IF(AND(E432&lt;&gt;"",F432&lt;&gt;"",F432&lt;&gt;0),E432/F432,"")</f>
        <v/>
      </c>
    </row>
    <row r="433">
      <c r="A433" s="71" t="n"/>
      <c r="B433" s="8" t="n"/>
      <c r="C433" s="8" t="n"/>
      <c r="D433" s="14" t="n"/>
      <c r="E433" s="14" t="n"/>
      <c r="F433" s="14" t="n"/>
      <c r="G433" s="20">
        <f>IF(AND(E433&lt;&gt;"",F433&lt;&gt;"",F433&lt;&gt;0),E433/F433,"")</f>
        <v/>
      </c>
    </row>
    <row r="434">
      <c r="A434" s="71" t="n"/>
      <c r="B434" s="8" t="n"/>
      <c r="C434" s="8" t="n"/>
      <c r="D434" s="14" t="n"/>
      <c r="E434" s="14" t="n"/>
      <c r="F434" s="14" t="n"/>
      <c r="G434" s="20">
        <f>IF(AND(E434&lt;&gt;"",F434&lt;&gt;"",F434&lt;&gt;0),E434/F434,"")</f>
        <v/>
      </c>
    </row>
    <row r="435">
      <c r="A435" s="71" t="n"/>
      <c r="B435" s="8" t="n"/>
      <c r="C435" s="8" t="n"/>
      <c r="D435" s="14" t="n"/>
      <c r="E435" s="14" t="n"/>
      <c r="F435" s="14" t="n"/>
      <c r="G435" s="20">
        <f>IF(AND(E435&lt;&gt;"",F435&lt;&gt;"",F435&lt;&gt;0),E435/F435,"")</f>
        <v/>
      </c>
    </row>
    <row r="436">
      <c r="A436" s="71" t="n"/>
      <c r="B436" s="8" t="n"/>
      <c r="C436" s="8" t="n"/>
      <c r="D436" s="14" t="n"/>
      <c r="E436" s="14" t="n"/>
      <c r="F436" s="14" t="n"/>
      <c r="G436" s="20">
        <f>IF(AND(E436&lt;&gt;"",F436&lt;&gt;"",F436&lt;&gt;0),E436/F436,"")</f>
        <v/>
      </c>
    </row>
    <row r="437">
      <c r="A437" s="71" t="n"/>
      <c r="B437" s="8" t="n"/>
      <c r="C437" s="8" t="n"/>
      <c r="D437" s="14" t="n"/>
      <c r="E437" s="14" t="n"/>
      <c r="F437" s="14" t="n"/>
      <c r="G437" s="20">
        <f>IF(AND(E437&lt;&gt;"",F437&lt;&gt;"",F437&lt;&gt;0),E437/F437,"")</f>
        <v/>
      </c>
    </row>
    <row r="438">
      <c r="A438" s="71" t="n"/>
      <c r="B438" s="8" t="n"/>
      <c r="C438" s="8" t="n"/>
      <c r="D438" s="14" t="n"/>
      <c r="E438" s="14" t="n"/>
      <c r="F438" s="14" t="n"/>
      <c r="G438" s="20">
        <f>IF(AND(E438&lt;&gt;"",F438&lt;&gt;"",F438&lt;&gt;0),E438/F438,"")</f>
        <v/>
      </c>
    </row>
    <row r="439">
      <c r="A439" s="71" t="n"/>
      <c r="B439" s="8" t="n"/>
      <c r="C439" s="8" t="n"/>
      <c r="D439" s="14" t="n"/>
      <c r="E439" s="14" t="n"/>
      <c r="F439" s="14" t="n"/>
      <c r="G439" s="20">
        <f>IF(AND(E439&lt;&gt;"",F439&lt;&gt;"",F439&lt;&gt;0),E439/F439,"")</f>
        <v/>
      </c>
    </row>
    <row r="440">
      <c r="A440" s="71" t="n"/>
      <c r="B440" s="8" t="n"/>
      <c r="C440" s="8" t="n"/>
      <c r="D440" s="14" t="n"/>
      <c r="E440" s="14" t="n"/>
      <c r="F440" s="14" t="n"/>
      <c r="G440" s="20">
        <f>IF(AND(E440&lt;&gt;"",F440&lt;&gt;"",F440&lt;&gt;0),E440/F440,"")</f>
        <v/>
      </c>
    </row>
    <row r="441">
      <c r="A441" s="71" t="n"/>
      <c r="B441" s="8" t="n"/>
      <c r="C441" s="8" t="n"/>
      <c r="D441" s="14" t="n"/>
      <c r="E441" s="14" t="n"/>
      <c r="F441" s="14" t="n"/>
      <c r="G441" s="20">
        <f>IF(AND(E441&lt;&gt;"",F441&lt;&gt;"",F441&lt;&gt;0),E441/F441,"")</f>
        <v/>
      </c>
    </row>
    <row r="442">
      <c r="A442" s="71" t="n"/>
      <c r="B442" s="8" t="n"/>
      <c r="C442" s="8" t="n"/>
      <c r="D442" s="14" t="n"/>
      <c r="E442" s="14" t="n"/>
      <c r="F442" s="14" t="n"/>
      <c r="G442" s="20">
        <f>IF(AND(E442&lt;&gt;"",F442&lt;&gt;"",F442&lt;&gt;0),E442/F442,"")</f>
        <v/>
      </c>
    </row>
    <row r="443">
      <c r="A443" s="71" t="n"/>
      <c r="B443" s="8" t="n"/>
      <c r="C443" s="8" t="n"/>
      <c r="D443" s="14" t="n"/>
      <c r="E443" s="14" t="n"/>
      <c r="F443" s="14" t="n"/>
      <c r="G443" s="20">
        <f>IF(AND(E443&lt;&gt;"",F443&lt;&gt;"",F443&lt;&gt;0),E443/F443,"")</f>
        <v/>
      </c>
    </row>
    <row r="444">
      <c r="A444" s="71" t="n"/>
      <c r="B444" s="8" t="n"/>
      <c r="C444" s="8" t="n"/>
      <c r="D444" s="14" t="n"/>
      <c r="E444" s="14" t="n"/>
      <c r="F444" s="14" t="n"/>
      <c r="G444" s="20">
        <f>IF(AND(E444&lt;&gt;"",F444&lt;&gt;"",F444&lt;&gt;0),E444/F444,"")</f>
        <v/>
      </c>
    </row>
    <row r="445">
      <c r="A445" s="71" t="n"/>
      <c r="B445" s="8" t="n"/>
      <c r="C445" s="8" t="n"/>
      <c r="D445" s="14" t="n"/>
      <c r="E445" s="14" t="n"/>
      <c r="F445" s="14" t="n"/>
      <c r="G445" s="20">
        <f>IF(AND(E445&lt;&gt;"",F445&lt;&gt;"",F445&lt;&gt;0),E445/F445,"")</f>
        <v/>
      </c>
    </row>
    <row r="446">
      <c r="A446" s="71" t="n"/>
      <c r="B446" s="8" t="n"/>
      <c r="C446" s="8" t="n"/>
      <c r="D446" s="14" t="n"/>
      <c r="E446" s="14" t="n"/>
      <c r="F446" s="14" t="n"/>
      <c r="G446" s="20">
        <f>IF(AND(E446&lt;&gt;"",F446&lt;&gt;"",F446&lt;&gt;0),E446/F446,"")</f>
        <v/>
      </c>
    </row>
    <row r="447">
      <c r="A447" s="71" t="n"/>
      <c r="B447" s="8" t="n"/>
      <c r="C447" s="8" t="n"/>
      <c r="D447" s="14" t="n"/>
      <c r="E447" s="14" t="n"/>
      <c r="F447" s="14" t="n"/>
      <c r="G447" s="20">
        <f>IF(AND(E447&lt;&gt;"",F447&lt;&gt;"",F447&lt;&gt;0),E447/F447,"")</f>
        <v/>
      </c>
    </row>
    <row r="448">
      <c r="A448" s="71" t="n"/>
      <c r="B448" s="8" t="n"/>
      <c r="C448" s="8" t="n"/>
      <c r="D448" s="14" t="n"/>
      <c r="E448" s="14" t="n"/>
      <c r="F448" s="14" t="n"/>
      <c r="G448" s="20">
        <f>IF(AND(E448&lt;&gt;"",F448&lt;&gt;"",F448&lt;&gt;0),E448/F448,"")</f>
        <v/>
      </c>
    </row>
    <row r="449">
      <c r="A449" s="71" t="n"/>
      <c r="B449" s="8" t="n"/>
      <c r="C449" s="8" t="n"/>
      <c r="D449" s="14" t="n"/>
      <c r="E449" s="14" t="n"/>
      <c r="F449" s="14" t="n"/>
      <c r="G449" s="20">
        <f>IF(AND(E449&lt;&gt;"",F449&lt;&gt;"",F449&lt;&gt;0),E449/F449,"")</f>
        <v/>
      </c>
    </row>
    <row r="450">
      <c r="A450" s="71" t="n"/>
      <c r="B450" s="8" t="n"/>
      <c r="C450" s="8" t="n"/>
      <c r="D450" s="14" t="n"/>
      <c r="E450" s="14" t="n"/>
      <c r="F450" s="14" t="n"/>
      <c r="G450" s="20">
        <f>IF(AND(E450&lt;&gt;"",F450&lt;&gt;"",F450&lt;&gt;0),E450/F450,"")</f>
        <v/>
      </c>
    </row>
    <row r="451">
      <c r="A451" s="71" t="n"/>
      <c r="B451" s="8" t="n"/>
      <c r="C451" s="8" t="n"/>
      <c r="D451" s="14" t="n"/>
      <c r="E451" s="14" t="n"/>
      <c r="F451" s="14" t="n"/>
      <c r="G451" s="20">
        <f>IF(AND(E451&lt;&gt;"",F451&lt;&gt;"",F451&lt;&gt;0),E451/F451,"")</f>
        <v/>
      </c>
    </row>
    <row r="452">
      <c r="A452" s="71" t="n"/>
      <c r="B452" s="8" t="n"/>
      <c r="C452" s="8" t="n"/>
      <c r="D452" s="14" t="n"/>
      <c r="E452" s="14" t="n"/>
      <c r="F452" s="14" t="n"/>
      <c r="G452" s="20">
        <f>IF(AND(E452&lt;&gt;"",F452&lt;&gt;"",F452&lt;&gt;0),E452/F452,"")</f>
        <v/>
      </c>
    </row>
    <row r="453">
      <c r="A453" s="71" t="n"/>
      <c r="B453" s="8" t="n"/>
      <c r="C453" s="8" t="n"/>
      <c r="D453" s="14" t="n"/>
      <c r="E453" s="14" t="n"/>
      <c r="F453" s="14" t="n"/>
      <c r="G453" s="20">
        <f>IF(AND(E453&lt;&gt;"",F453&lt;&gt;"",F453&lt;&gt;0),E453/F453,"")</f>
        <v/>
      </c>
    </row>
    <row r="454">
      <c r="A454" s="71" t="n"/>
      <c r="B454" s="8" t="n"/>
      <c r="C454" s="8" t="n"/>
      <c r="D454" s="14" t="n"/>
      <c r="E454" s="14" t="n"/>
      <c r="F454" s="14" t="n"/>
      <c r="G454" s="20">
        <f>IF(AND(E454&lt;&gt;"",F454&lt;&gt;"",F454&lt;&gt;0),E454/F454,"")</f>
        <v/>
      </c>
    </row>
    <row r="455">
      <c r="A455" s="71" t="n"/>
      <c r="B455" s="8" t="n"/>
      <c r="C455" s="8" t="n"/>
      <c r="D455" s="14" t="n"/>
      <c r="E455" s="14" t="n"/>
      <c r="F455" s="14" t="n"/>
      <c r="G455" s="20">
        <f>IF(AND(E455&lt;&gt;"",F455&lt;&gt;"",F455&lt;&gt;0),E455/F455,"")</f>
        <v/>
      </c>
    </row>
    <row r="456">
      <c r="A456" s="71" t="n"/>
      <c r="B456" s="8" t="n"/>
      <c r="C456" s="8" t="n"/>
      <c r="D456" s="14" t="n"/>
      <c r="E456" s="14" t="n"/>
      <c r="F456" s="14" t="n"/>
      <c r="G456" s="20">
        <f>IF(AND(E456&lt;&gt;"",F456&lt;&gt;"",F456&lt;&gt;0),E456/F456,"")</f>
        <v/>
      </c>
    </row>
    <row r="457">
      <c r="A457" s="71" t="n"/>
      <c r="B457" s="8" t="n"/>
      <c r="C457" s="8" t="n"/>
      <c r="D457" s="14" t="n"/>
      <c r="E457" s="14" t="n"/>
      <c r="F457" s="14" t="n"/>
      <c r="G457" s="20">
        <f>IF(AND(E457&lt;&gt;"",F457&lt;&gt;"",F457&lt;&gt;0),E457/F457,"")</f>
        <v/>
      </c>
    </row>
    <row r="458">
      <c r="A458" s="71" t="n"/>
      <c r="B458" s="8" t="n"/>
      <c r="C458" s="8" t="n"/>
      <c r="D458" s="14" t="n"/>
      <c r="E458" s="14" t="n"/>
      <c r="F458" s="14" t="n"/>
      <c r="G458" s="20">
        <f>IF(AND(E458&lt;&gt;"",F458&lt;&gt;"",F458&lt;&gt;0),E458/F458,"")</f>
        <v/>
      </c>
    </row>
    <row r="459">
      <c r="A459" s="71" t="n"/>
      <c r="B459" s="8" t="n"/>
      <c r="C459" s="8" t="n"/>
      <c r="D459" s="14" t="n"/>
      <c r="E459" s="14" t="n"/>
      <c r="F459" s="14" t="n"/>
      <c r="G459" s="20">
        <f>IF(AND(E459&lt;&gt;"",F459&lt;&gt;"",F459&lt;&gt;0),E459/F459,"")</f>
        <v/>
      </c>
    </row>
    <row r="460">
      <c r="A460" s="71" t="n"/>
      <c r="B460" s="8" t="n"/>
      <c r="C460" s="8" t="n"/>
      <c r="D460" s="14" t="n"/>
      <c r="E460" s="14" t="n"/>
      <c r="F460" s="14" t="n"/>
      <c r="G460" s="20">
        <f>IF(AND(E460&lt;&gt;"",F460&lt;&gt;"",F460&lt;&gt;0),E460/F460,"")</f>
        <v/>
      </c>
    </row>
    <row r="461">
      <c r="A461" s="71" t="n"/>
      <c r="B461" s="8" t="n"/>
      <c r="C461" s="8" t="n"/>
      <c r="D461" s="14" t="n"/>
      <c r="E461" s="14" t="n"/>
      <c r="F461" s="14" t="n"/>
      <c r="G461" s="20">
        <f>IF(AND(E461&lt;&gt;"",F461&lt;&gt;"",F461&lt;&gt;0),E461/F461,"")</f>
        <v/>
      </c>
    </row>
    <row r="462">
      <c r="A462" s="71" t="n"/>
      <c r="B462" s="8" t="n"/>
      <c r="C462" s="8" t="n"/>
      <c r="D462" s="14" t="n"/>
      <c r="E462" s="14" t="n"/>
      <c r="F462" s="14" t="n"/>
      <c r="G462" s="20">
        <f>IF(AND(E462&lt;&gt;"",F462&lt;&gt;"",F462&lt;&gt;0),E462/F462,"")</f>
        <v/>
      </c>
    </row>
    <row r="463">
      <c r="A463" s="71" t="n"/>
      <c r="B463" s="8" t="n"/>
      <c r="C463" s="8" t="n"/>
      <c r="D463" s="14" t="n"/>
      <c r="E463" s="14" t="n"/>
      <c r="F463" s="14" t="n"/>
      <c r="G463" s="20">
        <f>IF(AND(E463&lt;&gt;"",F463&lt;&gt;"",F463&lt;&gt;0),E463/F463,"")</f>
        <v/>
      </c>
    </row>
    <row r="464">
      <c r="A464" s="71" t="n"/>
      <c r="B464" s="8" t="n"/>
      <c r="C464" s="8" t="n"/>
      <c r="D464" s="14" t="n"/>
      <c r="E464" s="14" t="n"/>
      <c r="F464" s="14" t="n"/>
      <c r="G464" s="20">
        <f>IF(AND(E464&lt;&gt;"",F464&lt;&gt;"",F464&lt;&gt;0),E464/F464,"")</f>
        <v/>
      </c>
    </row>
    <row r="465">
      <c r="A465" s="71" t="n"/>
      <c r="B465" s="8" t="n"/>
      <c r="C465" s="8" t="n"/>
      <c r="D465" s="14" t="n"/>
      <c r="E465" s="14" t="n"/>
      <c r="F465" s="14" t="n"/>
      <c r="G465" s="20">
        <f>IF(AND(E465&lt;&gt;"",F465&lt;&gt;"",F465&lt;&gt;0),E465/F465,"")</f>
        <v/>
      </c>
    </row>
    <row r="466">
      <c r="A466" s="71" t="n"/>
      <c r="B466" s="8" t="n"/>
      <c r="C466" s="8" t="n"/>
      <c r="D466" s="14" t="n"/>
      <c r="E466" s="14" t="n"/>
      <c r="F466" s="14" t="n"/>
      <c r="G466" s="20">
        <f>IF(AND(E466&lt;&gt;"",F466&lt;&gt;"",F466&lt;&gt;0),E466/F466,"")</f>
        <v/>
      </c>
    </row>
    <row r="467">
      <c r="A467" s="71" t="n"/>
      <c r="B467" s="8" t="n"/>
      <c r="C467" s="8" t="n"/>
      <c r="D467" s="14" t="n"/>
      <c r="E467" s="14" t="n"/>
      <c r="F467" s="14" t="n"/>
      <c r="G467" s="20">
        <f>IF(AND(E467&lt;&gt;"",F467&lt;&gt;"",F467&lt;&gt;0),E467/F467,"")</f>
        <v/>
      </c>
    </row>
    <row r="468">
      <c r="A468" s="71" t="n"/>
      <c r="B468" s="8" t="n"/>
      <c r="C468" s="8" t="n"/>
      <c r="D468" s="14" t="n"/>
      <c r="E468" s="14" t="n"/>
      <c r="F468" s="14" t="n"/>
      <c r="G468" s="20">
        <f>IF(AND(E468&lt;&gt;"",F468&lt;&gt;"",F468&lt;&gt;0),E468/F468,"")</f>
        <v/>
      </c>
    </row>
    <row r="469">
      <c r="A469" s="71" t="n"/>
      <c r="B469" s="8" t="n"/>
      <c r="C469" s="8" t="n"/>
      <c r="D469" s="14" t="n"/>
      <c r="E469" s="14" t="n"/>
      <c r="F469" s="14" t="n"/>
      <c r="G469" s="20">
        <f>IF(AND(E469&lt;&gt;"",F469&lt;&gt;"",F469&lt;&gt;0),E469/F469,"")</f>
        <v/>
      </c>
    </row>
    <row r="470">
      <c r="A470" s="71" t="n"/>
      <c r="B470" s="8" t="n"/>
      <c r="C470" s="8" t="n"/>
      <c r="D470" s="14" t="n"/>
      <c r="E470" s="14" t="n"/>
      <c r="F470" s="14" t="n"/>
      <c r="G470" s="20">
        <f>IF(AND(E470&lt;&gt;"",F470&lt;&gt;"",F470&lt;&gt;0),E470/F470,"")</f>
        <v/>
      </c>
    </row>
    <row r="471">
      <c r="A471" s="71" t="n"/>
      <c r="B471" s="8" t="n"/>
      <c r="C471" s="8" t="n"/>
      <c r="D471" s="14" t="n"/>
      <c r="E471" s="14" t="n"/>
      <c r="F471" s="14" t="n"/>
      <c r="G471" s="20">
        <f>IF(AND(E471&lt;&gt;"",F471&lt;&gt;"",F471&lt;&gt;0),E471/F471,"")</f>
        <v/>
      </c>
    </row>
    <row r="472">
      <c r="A472" s="71" t="n"/>
      <c r="B472" s="8" t="n"/>
      <c r="C472" s="8" t="n"/>
      <c r="D472" s="14" t="n"/>
      <c r="E472" s="14" t="n"/>
      <c r="F472" s="14" t="n"/>
      <c r="G472" s="20">
        <f>IF(AND(E472&lt;&gt;"",F472&lt;&gt;"",F472&lt;&gt;0),E472/F472,"")</f>
        <v/>
      </c>
    </row>
    <row r="473">
      <c r="A473" s="71" t="n"/>
      <c r="B473" s="8" t="n"/>
      <c r="C473" s="8" t="n"/>
      <c r="D473" s="14" t="n"/>
      <c r="E473" s="14" t="n"/>
      <c r="F473" s="14" t="n"/>
      <c r="G473" s="20">
        <f>IF(AND(E473&lt;&gt;"",F473&lt;&gt;"",F473&lt;&gt;0),E473/F473,"")</f>
        <v/>
      </c>
    </row>
    <row r="474">
      <c r="A474" s="71" t="n"/>
      <c r="B474" s="8" t="n"/>
      <c r="C474" s="8" t="n"/>
      <c r="D474" s="14" t="n"/>
      <c r="E474" s="14" t="n"/>
      <c r="F474" s="14" t="n"/>
      <c r="G474" s="20">
        <f>IF(AND(E474&lt;&gt;"",F474&lt;&gt;"",F474&lt;&gt;0),E474/F474,"")</f>
        <v/>
      </c>
    </row>
    <row r="475">
      <c r="A475" s="71" t="n"/>
      <c r="B475" s="8" t="n"/>
      <c r="C475" s="8" t="n"/>
      <c r="D475" s="14" t="n"/>
      <c r="E475" s="14" t="n"/>
      <c r="F475" s="14" t="n"/>
      <c r="G475" s="20">
        <f>IF(AND(E475&lt;&gt;"",F475&lt;&gt;"",F475&lt;&gt;0),E475/F475,"")</f>
        <v/>
      </c>
    </row>
    <row r="476">
      <c r="A476" s="71" t="n"/>
      <c r="B476" s="8" t="n"/>
      <c r="C476" s="8" t="n"/>
      <c r="D476" s="14" t="n"/>
      <c r="E476" s="14" t="n"/>
      <c r="F476" s="14" t="n"/>
      <c r="G476" s="20">
        <f>IF(AND(E476&lt;&gt;"",F476&lt;&gt;"",F476&lt;&gt;0),E476/F476,"")</f>
        <v/>
      </c>
    </row>
    <row r="477">
      <c r="A477" s="71" t="n"/>
      <c r="B477" s="8" t="n"/>
      <c r="C477" s="8" t="n"/>
      <c r="D477" s="14" t="n"/>
      <c r="E477" s="14" t="n"/>
      <c r="F477" s="14" t="n"/>
      <c r="G477" s="20">
        <f>IF(AND(E477&lt;&gt;"",F477&lt;&gt;"",F477&lt;&gt;0),E477/F477,"")</f>
        <v/>
      </c>
    </row>
    <row r="478">
      <c r="A478" s="71" t="n"/>
      <c r="B478" s="8" t="n"/>
      <c r="C478" s="8" t="n"/>
      <c r="D478" s="14" t="n"/>
      <c r="E478" s="14" t="n"/>
      <c r="F478" s="14" t="n"/>
      <c r="G478" s="20">
        <f>IF(AND(E478&lt;&gt;"",F478&lt;&gt;"",F478&lt;&gt;0),E478/F478,"")</f>
        <v/>
      </c>
    </row>
    <row r="479">
      <c r="A479" s="71" t="n"/>
      <c r="B479" s="8" t="n"/>
      <c r="C479" s="8" t="n"/>
      <c r="D479" s="14" t="n"/>
      <c r="E479" s="14" t="n"/>
      <c r="F479" s="14" t="n"/>
      <c r="G479" s="20">
        <f>IF(AND(E479&lt;&gt;"",F479&lt;&gt;"",F479&lt;&gt;0),E479/F479,"")</f>
        <v/>
      </c>
    </row>
    <row r="480">
      <c r="A480" s="71" t="n"/>
      <c r="B480" s="8" t="n"/>
      <c r="C480" s="8" t="n"/>
      <c r="D480" s="14" t="n"/>
      <c r="E480" s="14" t="n"/>
      <c r="F480" s="14" t="n"/>
      <c r="G480" s="20">
        <f>IF(AND(E480&lt;&gt;"",F480&lt;&gt;"",F480&lt;&gt;0),E480/F480,"")</f>
        <v/>
      </c>
    </row>
    <row r="481">
      <c r="A481" s="71" t="n"/>
      <c r="B481" s="8" t="n"/>
      <c r="C481" s="8" t="n"/>
      <c r="D481" s="14" t="n"/>
      <c r="E481" s="14" t="n"/>
      <c r="F481" s="14" t="n"/>
      <c r="G481" s="20">
        <f>IF(AND(E481&lt;&gt;"",F481&lt;&gt;"",F481&lt;&gt;0),E481/F481,"")</f>
        <v/>
      </c>
    </row>
    <row r="482">
      <c r="A482" s="71" t="n"/>
      <c r="B482" s="8" t="n"/>
      <c r="C482" s="8" t="n"/>
      <c r="D482" s="14" t="n"/>
      <c r="E482" s="14" t="n"/>
      <c r="F482" s="14" t="n"/>
      <c r="G482" s="20">
        <f>IF(AND(E482&lt;&gt;"",F482&lt;&gt;"",F482&lt;&gt;0),E482/F482,"")</f>
        <v/>
      </c>
    </row>
    <row r="483">
      <c r="A483" s="71" t="n"/>
      <c r="B483" s="8" t="n"/>
      <c r="C483" s="8" t="n"/>
      <c r="D483" s="14" t="n"/>
      <c r="E483" s="14" t="n"/>
      <c r="F483" s="14" t="n"/>
      <c r="G483" s="20">
        <f>IF(AND(E483&lt;&gt;"",F483&lt;&gt;"",F483&lt;&gt;0),E483/F483,"")</f>
        <v/>
      </c>
    </row>
    <row r="484">
      <c r="A484" s="71" t="n"/>
      <c r="B484" s="8" t="n"/>
      <c r="C484" s="8" t="n"/>
      <c r="D484" s="14" t="n"/>
      <c r="E484" s="14" t="n"/>
      <c r="F484" s="14" t="n"/>
      <c r="G484" s="20">
        <f>IF(AND(E484&lt;&gt;"",F484&lt;&gt;"",F484&lt;&gt;0),E484/F484,"")</f>
        <v/>
      </c>
    </row>
    <row r="485">
      <c r="A485" s="71" t="n"/>
      <c r="B485" s="8" t="n"/>
      <c r="C485" s="8" t="n"/>
      <c r="D485" s="14" t="n"/>
      <c r="E485" s="14" t="n"/>
      <c r="F485" s="14" t="n"/>
      <c r="G485" s="20">
        <f>IF(AND(E485&lt;&gt;"",F485&lt;&gt;"",F485&lt;&gt;0),E485/F485,"")</f>
        <v/>
      </c>
    </row>
    <row r="486">
      <c r="A486" s="71" t="n"/>
      <c r="B486" s="8" t="n"/>
      <c r="C486" s="8" t="n"/>
      <c r="D486" s="14" t="n"/>
      <c r="E486" s="14" t="n"/>
      <c r="F486" s="14" t="n"/>
      <c r="G486" s="20">
        <f>IF(AND(E486&lt;&gt;"",F486&lt;&gt;"",F486&lt;&gt;0),E486/F486,"")</f>
        <v/>
      </c>
    </row>
    <row r="487">
      <c r="A487" s="71" t="n"/>
      <c r="B487" s="8" t="n"/>
      <c r="C487" s="8" t="n"/>
      <c r="D487" s="14" t="n"/>
      <c r="E487" s="14" t="n"/>
      <c r="F487" s="14" t="n"/>
      <c r="G487" s="20">
        <f>IF(AND(E487&lt;&gt;"",F487&lt;&gt;"",F487&lt;&gt;0),E487/F487,"")</f>
        <v/>
      </c>
    </row>
    <row r="488">
      <c r="A488" s="71" t="n"/>
      <c r="B488" s="8" t="n"/>
      <c r="C488" s="8" t="n"/>
      <c r="D488" s="14" t="n"/>
      <c r="E488" s="14" t="n"/>
      <c r="F488" s="14" t="n"/>
      <c r="G488" s="20">
        <f>IF(AND(E488&lt;&gt;"",F488&lt;&gt;"",F488&lt;&gt;0),E488/F488,"")</f>
        <v/>
      </c>
    </row>
    <row r="489">
      <c r="A489" s="71" t="n"/>
      <c r="B489" s="8" t="n"/>
      <c r="C489" s="8" t="n"/>
      <c r="D489" s="14" t="n"/>
      <c r="E489" s="14" t="n"/>
      <c r="F489" s="14" t="n"/>
      <c r="G489" s="20">
        <f>IF(AND(E489&lt;&gt;"",F489&lt;&gt;"",F489&lt;&gt;0),E489/F489,"")</f>
        <v/>
      </c>
    </row>
    <row r="490">
      <c r="A490" s="71" t="n"/>
      <c r="B490" s="8" t="n"/>
      <c r="C490" s="8" t="n"/>
      <c r="D490" s="14" t="n"/>
      <c r="E490" s="14" t="n"/>
      <c r="F490" s="14" t="n"/>
      <c r="G490" s="20">
        <f>IF(AND(E490&lt;&gt;"",F490&lt;&gt;"",F490&lt;&gt;0),E490/F490,"")</f>
        <v/>
      </c>
    </row>
    <row r="491">
      <c r="A491" s="71" t="n"/>
      <c r="B491" s="8" t="n"/>
      <c r="C491" s="8" t="n"/>
      <c r="D491" s="14" t="n"/>
      <c r="E491" s="14" t="n"/>
      <c r="F491" s="14" t="n"/>
      <c r="G491" s="20">
        <f>IF(AND(E491&lt;&gt;"",F491&lt;&gt;"",F491&lt;&gt;0),E491/F491,"")</f>
        <v/>
      </c>
    </row>
    <row r="492">
      <c r="A492" s="71" t="n"/>
      <c r="B492" s="8" t="n"/>
      <c r="C492" s="8" t="n"/>
      <c r="D492" s="14" t="n"/>
      <c r="E492" s="14" t="n"/>
      <c r="F492" s="14" t="n"/>
      <c r="G492" s="20">
        <f>IF(AND(E492&lt;&gt;"",F492&lt;&gt;"",F492&lt;&gt;0),E492/F492,"")</f>
        <v/>
      </c>
    </row>
    <row r="493">
      <c r="A493" s="71" t="n"/>
      <c r="B493" s="8" t="n"/>
      <c r="C493" s="8" t="n"/>
      <c r="D493" s="14" t="n"/>
      <c r="E493" s="14" t="n"/>
      <c r="F493" s="14" t="n"/>
      <c r="G493" s="20">
        <f>IF(AND(E493&lt;&gt;"",F493&lt;&gt;"",F493&lt;&gt;0),E493/F493,"")</f>
        <v/>
      </c>
    </row>
    <row r="494">
      <c r="A494" s="71" t="n"/>
      <c r="B494" s="8" t="n"/>
      <c r="C494" s="8" t="n"/>
      <c r="D494" s="14" t="n"/>
      <c r="E494" s="14" t="n"/>
      <c r="F494" s="14" t="n"/>
      <c r="G494" s="20">
        <f>IF(AND(E494&lt;&gt;"",F494&lt;&gt;"",F494&lt;&gt;0),E494/F494,"")</f>
        <v/>
      </c>
    </row>
    <row r="495">
      <c r="A495" s="71" t="n"/>
      <c r="B495" s="8" t="n"/>
      <c r="C495" s="8" t="n"/>
      <c r="D495" s="14" t="n"/>
      <c r="E495" s="14" t="n"/>
      <c r="F495" s="14" t="n"/>
      <c r="G495" s="20">
        <f>IF(AND(E495&lt;&gt;"",F495&lt;&gt;"",F495&lt;&gt;0),E495/F495,"")</f>
        <v/>
      </c>
    </row>
    <row r="496">
      <c r="A496" s="71" t="n"/>
      <c r="B496" s="8" t="n"/>
      <c r="C496" s="8" t="n"/>
      <c r="D496" s="14" t="n"/>
      <c r="E496" s="14" t="n"/>
      <c r="F496" s="14" t="n"/>
      <c r="G496" s="20">
        <f>IF(AND(E496&lt;&gt;"",F496&lt;&gt;"",F496&lt;&gt;0),E496/F496,"")</f>
        <v/>
      </c>
    </row>
    <row r="497">
      <c r="A497" s="71" t="n"/>
      <c r="B497" s="8" t="n"/>
      <c r="C497" s="8" t="n"/>
      <c r="D497" s="14" t="n"/>
      <c r="E497" s="14" t="n"/>
      <c r="F497" s="14" t="n"/>
      <c r="G497" s="20">
        <f>IF(AND(E497&lt;&gt;"",F497&lt;&gt;"",F497&lt;&gt;0),E497/F497,"")</f>
        <v/>
      </c>
    </row>
    <row r="498">
      <c r="A498" s="71" t="n"/>
      <c r="B498" s="8" t="n"/>
      <c r="C498" s="8" t="n"/>
      <c r="D498" s="14" t="n"/>
      <c r="E498" s="14" t="n"/>
      <c r="F498" s="14" t="n"/>
      <c r="G498" s="20">
        <f>IF(AND(E498&lt;&gt;"",F498&lt;&gt;"",F498&lt;&gt;0),E498/F498,"")</f>
        <v/>
      </c>
    </row>
    <row r="499">
      <c r="A499" s="71" t="n"/>
      <c r="B499" s="8" t="n"/>
      <c r="C499" s="8" t="n"/>
      <c r="D499" s="14" t="n"/>
      <c r="E499" s="14" t="n"/>
      <c r="F499" s="14" t="n"/>
      <c r="G499" s="20">
        <f>IF(AND(E499&lt;&gt;"",F499&lt;&gt;"",F499&lt;&gt;0),E499/F499,"")</f>
        <v/>
      </c>
    </row>
    <row r="500">
      <c r="A500" s="71" t="n"/>
      <c r="B500" s="8" t="n"/>
      <c r="C500" s="8" t="n"/>
      <c r="D500" s="14" t="n"/>
      <c r="E500" s="14" t="n"/>
      <c r="F500" s="14" t="n"/>
      <c r="G500" s="20">
        <f>IF(AND(E500&lt;&gt;"",F500&lt;&gt;"",F500&lt;&gt;0),E500/F500,"")</f>
        <v/>
      </c>
    </row>
    <row r="501">
      <c r="A501" s="71" t="n"/>
      <c r="B501" s="8" t="n"/>
      <c r="C501" s="8" t="n"/>
      <c r="D501" s="14" t="n"/>
      <c r="E501" s="14" t="n"/>
      <c r="F501" s="14" t="n"/>
      <c r="G501" s="20">
        <f>IF(AND(E501&lt;&gt;"",F501&lt;&gt;"",F501&lt;&gt;0),E501/F501,"")</f>
        <v/>
      </c>
    </row>
    <row r="502">
      <c r="A502" s="71" t="n"/>
      <c r="B502" s="8" t="n"/>
      <c r="C502" s="8" t="n"/>
      <c r="D502" s="14" t="n"/>
      <c r="E502" s="14" t="n"/>
      <c r="F502" s="14" t="n"/>
      <c r="G502" s="20">
        <f>IF(AND(E502&lt;&gt;"",F502&lt;&gt;"",F502&lt;&gt;0),E502/F502,"")</f>
        <v/>
      </c>
    </row>
  </sheetData>
  <mergeCells count="1">
    <mergeCell ref="A1:G1"/>
  </mergeCells>
  <dataValidations count="2">
    <dataValidation sqref="B3:B502" showDropDown="0" showInputMessage="0" showErrorMessage="0" allowBlank="1" type="list">
      <formula1>"Emergency Fund,Vacation,Investment,Retirement,Other"</formula1>
    </dataValidation>
    <dataValidation sqref="C3:C502" showDropDown="0" showInputMessage="0" showErrorMessage="0" allowBlank="1" type="list">
      <formula1>"Deposit,Withdrawal,Interest"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8" customWidth="1" min="4" max="4"/>
    <col width="18" customWidth="1" min="5" max="5"/>
    <col width="16" customWidth="1" min="6" max="6"/>
    <col width="25" customWidth="1" min="7" max="7"/>
  </cols>
  <sheetData>
    <row r="1" ht="35" customHeight="1">
      <c r="A1" s="70" t="inlineStr">
        <is>
          <t>ASSETS &amp; INVESTMENTS</t>
        </is>
      </c>
    </row>
    <row r="2">
      <c r="A2" s="4" t="inlineStr">
        <is>
          <t>Date Added</t>
        </is>
      </c>
      <c r="B2" s="4" t="inlineStr">
        <is>
          <t>Name</t>
        </is>
      </c>
      <c r="C2" s="4" t="inlineStr">
        <is>
          <t>Type</t>
        </is>
      </c>
      <c r="D2" s="4" t="inlineStr">
        <is>
          <t>Purchase Value</t>
        </is>
      </c>
      <c r="E2" s="4" t="inlineStr">
        <is>
          <t>Current Value</t>
        </is>
      </c>
      <c r="F2" s="4" t="inlineStr">
        <is>
          <t>Gain/Loss</t>
        </is>
      </c>
      <c r="G2" s="4" t="inlineStr">
        <is>
          <t>Notes</t>
        </is>
      </c>
    </row>
    <row r="3">
      <c r="A3" s="71" t="n"/>
      <c r="B3" s="8" t="n"/>
      <c r="C3" s="8" t="n"/>
      <c r="D3" s="14" t="n"/>
      <c r="E3" s="14" t="n"/>
      <c r="F3" s="14">
        <f>IF(AND(D3&lt;&gt;"",E3&lt;&gt;""),E3-D3,"")</f>
        <v/>
      </c>
      <c r="G3" s="8" t="n"/>
    </row>
    <row r="4">
      <c r="A4" s="71" t="n"/>
      <c r="B4" s="8" t="n"/>
      <c r="C4" s="8" t="n"/>
      <c r="D4" s="14" t="n"/>
      <c r="E4" s="14" t="n"/>
      <c r="F4" s="14">
        <f>IF(AND(D4&lt;&gt;"",E4&lt;&gt;""),E4-D4,"")</f>
        <v/>
      </c>
      <c r="G4" s="8" t="n"/>
    </row>
    <row r="5">
      <c r="A5" s="71" t="n"/>
      <c r="B5" s="8" t="n"/>
      <c r="C5" s="8" t="n"/>
      <c r="D5" s="14" t="n"/>
      <c r="E5" s="14" t="n"/>
      <c r="F5" s="14">
        <f>IF(AND(D5&lt;&gt;"",E5&lt;&gt;""),E5-D5,"")</f>
        <v/>
      </c>
      <c r="G5" s="8" t="n"/>
    </row>
    <row r="6">
      <c r="A6" s="71" t="n"/>
      <c r="B6" s="8" t="n"/>
      <c r="C6" s="8" t="n"/>
      <c r="D6" s="14" t="n"/>
      <c r="E6" s="14" t="n"/>
      <c r="F6" s="14">
        <f>IF(AND(D6&lt;&gt;"",E6&lt;&gt;""),E6-D6,"")</f>
        <v/>
      </c>
      <c r="G6" s="8" t="n"/>
    </row>
    <row r="7">
      <c r="A7" s="71" t="n"/>
      <c r="B7" s="8" t="n"/>
      <c r="C7" s="8" t="n"/>
      <c r="D7" s="14" t="n"/>
      <c r="E7" s="14" t="n"/>
      <c r="F7" s="14">
        <f>IF(AND(D7&lt;&gt;"",E7&lt;&gt;""),E7-D7,"")</f>
        <v/>
      </c>
      <c r="G7" s="8" t="n"/>
    </row>
    <row r="8">
      <c r="A8" s="71" t="n"/>
      <c r="B8" s="8" t="n"/>
      <c r="C8" s="8" t="n"/>
      <c r="D8" s="14" t="n"/>
      <c r="E8" s="14" t="n"/>
      <c r="F8" s="14">
        <f>IF(AND(D8&lt;&gt;"",E8&lt;&gt;""),E8-D8,"")</f>
        <v/>
      </c>
      <c r="G8" s="8" t="n"/>
    </row>
    <row r="9">
      <c r="A9" s="71" t="n"/>
      <c r="B9" s="8" t="n"/>
      <c r="C9" s="8" t="n"/>
      <c r="D9" s="14" t="n"/>
      <c r="E9" s="14" t="n"/>
      <c r="F9" s="14">
        <f>IF(AND(D9&lt;&gt;"",E9&lt;&gt;""),E9-D9,"")</f>
        <v/>
      </c>
      <c r="G9" s="8" t="n"/>
    </row>
    <row r="10">
      <c r="A10" s="71" t="n"/>
      <c r="B10" s="8" t="n"/>
      <c r="C10" s="8" t="n"/>
      <c r="D10" s="14" t="n"/>
      <c r="E10" s="14" t="n"/>
      <c r="F10" s="14">
        <f>IF(AND(D10&lt;&gt;"",E10&lt;&gt;""),E10-D10,"")</f>
        <v/>
      </c>
      <c r="G10" s="8" t="n"/>
    </row>
    <row r="11">
      <c r="A11" s="71" t="n"/>
      <c r="B11" s="8" t="n"/>
      <c r="C11" s="8" t="n"/>
      <c r="D11" s="14" t="n"/>
      <c r="E11" s="14" t="n"/>
      <c r="F11" s="14">
        <f>IF(AND(D11&lt;&gt;"",E11&lt;&gt;""),E11-D11,"")</f>
        <v/>
      </c>
      <c r="G11" s="8" t="n"/>
    </row>
    <row r="12">
      <c r="A12" s="71" t="n"/>
      <c r="B12" s="8" t="n"/>
      <c r="C12" s="8" t="n"/>
      <c r="D12" s="14" t="n"/>
      <c r="E12" s="14" t="n"/>
      <c r="F12" s="14">
        <f>IF(AND(D12&lt;&gt;"",E12&lt;&gt;""),E12-D12,"")</f>
        <v/>
      </c>
      <c r="G12" s="8" t="n"/>
    </row>
    <row r="13">
      <c r="A13" s="71" t="n"/>
      <c r="B13" s="8" t="n"/>
      <c r="C13" s="8" t="n"/>
      <c r="D13" s="14" t="n"/>
      <c r="E13" s="14" t="n"/>
      <c r="F13" s="14">
        <f>IF(AND(D13&lt;&gt;"",E13&lt;&gt;""),E13-D13,"")</f>
        <v/>
      </c>
      <c r="G13" s="8" t="n"/>
    </row>
    <row r="14">
      <c r="A14" s="71" t="n"/>
      <c r="B14" s="8" t="n"/>
      <c r="C14" s="8" t="n"/>
      <c r="D14" s="14" t="n"/>
      <c r="E14" s="14" t="n"/>
      <c r="F14" s="14">
        <f>IF(AND(D14&lt;&gt;"",E14&lt;&gt;""),E14-D14,"")</f>
        <v/>
      </c>
      <c r="G14" s="8" t="n"/>
    </row>
    <row r="15">
      <c r="A15" s="71" t="n"/>
      <c r="B15" s="8" t="n"/>
      <c r="C15" s="8" t="n"/>
      <c r="D15" s="14" t="n"/>
      <c r="E15" s="14" t="n"/>
      <c r="F15" s="14">
        <f>IF(AND(D15&lt;&gt;"",E15&lt;&gt;""),E15-D15,"")</f>
        <v/>
      </c>
      <c r="G15" s="8" t="n"/>
    </row>
    <row r="16">
      <c r="A16" s="71" t="n"/>
      <c r="B16" s="8" t="n"/>
      <c r="C16" s="8" t="n"/>
      <c r="D16" s="14" t="n"/>
      <c r="E16" s="14" t="n"/>
      <c r="F16" s="14">
        <f>IF(AND(D16&lt;&gt;"",E16&lt;&gt;""),E16-D16,"")</f>
        <v/>
      </c>
      <c r="G16" s="8" t="n"/>
    </row>
    <row r="17">
      <c r="A17" s="71" t="n"/>
      <c r="B17" s="8" t="n"/>
      <c r="C17" s="8" t="n"/>
      <c r="D17" s="14" t="n"/>
      <c r="E17" s="14" t="n"/>
      <c r="F17" s="14">
        <f>IF(AND(D17&lt;&gt;"",E17&lt;&gt;""),E17-D17,"")</f>
        <v/>
      </c>
      <c r="G17" s="8" t="n"/>
    </row>
    <row r="18">
      <c r="A18" s="71" t="n"/>
      <c r="B18" s="8" t="n"/>
      <c r="C18" s="8" t="n"/>
      <c r="D18" s="14" t="n"/>
      <c r="E18" s="14" t="n"/>
      <c r="F18" s="14">
        <f>IF(AND(D18&lt;&gt;"",E18&lt;&gt;""),E18-D18,"")</f>
        <v/>
      </c>
      <c r="G18" s="8" t="n"/>
    </row>
    <row r="19">
      <c r="A19" s="71" t="n"/>
      <c r="B19" s="8" t="n"/>
      <c r="C19" s="8" t="n"/>
      <c r="D19" s="14" t="n"/>
      <c r="E19" s="14" t="n"/>
      <c r="F19" s="14">
        <f>IF(AND(D19&lt;&gt;"",E19&lt;&gt;""),E19-D19,"")</f>
        <v/>
      </c>
      <c r="G19" s="8" t="n"/>
    </row>
    <row r="20">
      <c r="A20" s="71" t="n"/>
      <c r="B20" s="8" t="n"/>
      <c r="C20" s="8" t="n"/>
      <c r="D20" s="14" t="n"/>
      <c r="E20" s="14" t="n"/>
      <c r="F20" s="14">
        <f>IF(AND(D20&lt;&gt;"",E20&lt;&gt;""),E20-D20,"")</f>
        <v/>
      </c>
      <c r="G20" s="8" t="n"/>
    </row>
    <row r="21">
      <c r="A21" s="71" t="n"/>
      <c r="B21" s="8" t="n"/>
      <c r="C21" s="8" t="n"/>
      <c r="D21" s="14" t="n"/>
      <c r="E21" s="14" t="n"/>
      <c r="F21" s="14">
        <f>IF(AND(D21&lt;&gt;"",E21&lt;&gt;""),E21-D21,"")</f>
        <v/>
      </c>
      <c r="G21" s="8" t="n"/>
    </row>
    <row r="22">
      <c r="A22" s="71" t="n"/>
      <c r="B22" s="8" t="n"/>
      <c r="C22" s="8" t="n"/>
      <c r="D22" s="14" t="n"/>
      <c r="E22" s="14" t="n"/>
      <c r="F22" s="14">
        <f>IF(AND(D22&lt;&gt;"",E22&lt;&gt;""),E22-D22,"")</f>
        <v/>
      </c>
      <c r="G22" s="8" t="n"/>
    </row>
    <row r="23">
      <c r="A23" s="71" t="n"/>
      <c r="B23" s="8" t="n"/>
      <c r="C23" s="8" t="n"/>
      <c r="D23" s="14" t="n"/>
      <c r="E23" s="14" t="n"/>
      <c r="F23" s="14">
        <f>IF(AND(D23&lt;&gt;"",E23&lt;&gt;""),E23-D23,"")</f>
        <v/>
      </c>
      <c r="G23" s="8" t="n"/>
    </row>
    <row r="24">
      <c r="A24" s="71" t="n"/>
      <c r="B24" s="8" t="n"/>
      <c r="C24" s="8" t="n"/>
      <c r="D24" s="14" t="n"/>
      <c r="E24" s="14" t="n"/>
      <c r="F24" s="14">
        <f>IF(AND(D24&lt;&gt;"",E24&lt;&gt;""),E24-D24,"")</f>
        <v/>
      </c>
      <c r="G24" s="8" t="n"/>
    </row>
    <row r="25">
      <c r="A25" s="71" t="n"/>
      <c r="B25" s="8" t="n"/>
      <c r="C25" s="8" t="n"/>
      <c r="D25" s="14" t="n"/>
      <c r="E25" s="14" t="n"/>
      <c r="F25" s="14">
        <f>IF(AND(D25&lt;&gt;"",E25&lt;&gt;""),E25-D25,"")</f>
        <v/>
      </c>
      <c r="G25" s="8" t="n"/>
    </row>
    <row r="26">
      <c r="A26" s="71" t="n"/>
      <c r="B26" s="8" t="n"/>
      <c r="C26" s="8" t="n"/>
      <c r="D26" s="14" t="n"/>
      <c r="E26" s="14" t="n"/>
      <c r="F26" s="14">
        <f>IF(AND(D26&lt;&gt;"",E26&lt;&gt;""),E26-D26,"")</f>
        <v/>
      </c>
      <c r="G26" s="8" t="n"/>
    </row>
    <row r="27">
      <c r="A27" s="71" t="n"/>
      <c r="B27" s="8" t="n"/>
      <c r="C27" s="8" t="n"/>
      <c r="D27" s="14" t="n"/>
      <c r="E27" s="14" t="n"/>
      <c r="F27" s="14">
        <f>IF(AND(D27&lt;&gt;"",E27&lt;&gt;""),E27-D27,"")</f>
        <v/>
      </c>
      <c r="G27" s="8" t="n"/>
    </row>
    <row r="28">
      <c r="A28" s="71" t="n"/>
      <c r="B28" s="8" t="n"/>
      <c r="C28" s="8" t="n"/>
      <c r="D28" s="14" t="n"/>
      <c r="E28" s="14" t="n"/>
      <c r="F28" s="14">
        <f>IF(AND(D28&lt;&gt;"",E28&lt;&gt;""),E28-D28,"")</f>
        <v/>
      </c>
      <c r="G28" s="8" t="n"/>
    </row>
    <row r="29">
      <c r="A29" s="71" t="n"/>
      <c r="B29" s="8" t="n"/>
      <c r="C29" s="8" t="n"/>
      <c r="D29" s="14" t="n"/>
      <c r="E29" s="14" t="n"/>
      <c r="F29" s="14">
        <f>IF(AND(D29&lt;&gt;"",E29&lt;&gt;""),E29-D29,"")</f>
        <v/>
      </c>
      <c r="G29" s="8" t="n"/>
    </row>
    <row r="30">
      <c r="A30" s="71" t="n"/>
      <c r="B30" s="8" t="n"/>
      <c r="C30" s="8" t="n"/>
      <c r="D30" s="14" t="n"/>
      <c r="E30" s="14" t="n"/>
      <c r="F30" s="14">
        <f>IF(AND(D30&lt;&gt;"",E30&lt;&gt;""),E30-D30,"")</f>
        <v/>
      </c>
      <c r="G30" s="8" t="n"/>
    </row>
    <row r="31">
      <c r="A31" s="71" t="n"/>
      <c r="B31" s="8" t="n"/>
      <c r="C31" s="8" t="n"/>
      <c r="D31" s="14" t="n"/>
      <c r="E31" s="14" t="n"/>
      <c r="F31" s="14">
        <f>IF(AND(D31&lt;&gt;"",E31&lt;&gt;""),E31-D31,"")</f>
        <v/>
      </c>
      <c r="G31" s="8" t="n"/>
    </row>
    <row r="32">
      <c r="A32" s="71" t="n"/>
      <c r="B32" s="8" t="n"/>
      <c r="C32" s="8" t="n"/>
      <c r="D32" s="14" t="n"/>
      <c r="E32" s="14" t="n"/>
      <c r="F32" s="14">
        <f>IF(AND(D32&lt;&gt;"",E32&lt;&gt;""),E32-D32,"")</f>
        <v/>
      </c>
      <c r="G32" s="8" t="n"/>
    </row>
    <row r="33">
      <c r="A33" s="71" t="n"/>
      <c r="B33" s="8" t="n"/>
      <c r="C33" s="8" t="n"/>
      <c r="D33" s="14" t="n"/>
      <c r="E33" s="14" t="n"/>
      <c r="F33" s="14">
        <f>IF(AND(D33&lt;&gt;"",E33&lt;&gt;""),E33-D33,"")</f>
        <v/>
      </c>
      <c r="G33" s="8" t="n"/>
    </row>
    <row r="34">
      <c r="A34" s="71" t="n"/>
      <c r="B34" s="8" t="n"/>
      <c r="C34" s="8" t="n"/>
      <c r="D34" s="14" t="n"/>
      <c r="E34" s="14" t="n"/>
      <c r="F34" s="14">
        <f>IF(AND(D34&lt;&gt;"",E34&lt;&gt;""),E34-D34,"")</f>
        <v/>
      </c>
      <c r="G34" s="8" t="n"/>
    </row>
    <row r="35">
      <c r="A35" s="71" t="n"/>
      <c r="B35" s="8" t="n"/>
      <c r="C35" s="8" t="n"/>
      <c r="D35" s="14" t="n"/>
      <c r="E35" s="14" t="n"/>
      <c r="F35" s="14">
        <f>IF(AND(D35&lt;&gt;"",E35&lt;&gt;""),E35-D35,"")</f>
        <v/>
      </c>
      <c r="G35" s="8" t="n"/>
    </row>
    <row r="36">
      <c r="A36" s="71" t="n"/>
      <c r="B36" s="8" t="n"/>
      <c r="C36" s="8" t="n"/>
      <c r="D36" s="14" t="n"/>
      <c r="E36" s="14" t="n"/>
      <c r="F36" s="14">
        <f>IF(AND(D36&lt;&gt;"",E36&lt;&gt;""),E36-D36,"")</f>
        <v/>
      </c>
      <c r="G36" s="8" t="n"/>
    </row>
    <row r="37">
      <c r="A37" s="71" t="n"/>
      <c r="B37" s="8" t="n"/>
      <c r="C37" s="8" t="n"/>
      <c r="D37" s="14" t="n"/>
      <c r="E37" s="14" t="n"/>
      <c r="F37" s="14">
        <f>IF(AND(D37&lt;&gt;"",E37&lt;&gt;""),E37-D37,"")</f>
        <v/>
      </c>
      <c r="G37" s="8" t="n"/>
    </row>
    <row r="38">
      <c r="A38" s="71" t="n"/>
      <c r="B38" s="8" t="n"/>
      <c r="C38" s="8" t="n"/>
      <c r="D38" s="14" t="n"/>
      <c r="E38" s="14" t="n"/>
      <c r="F38" s="14">
        <f>IF(AND(D38&lt;&gt;"",E38&lt;&gt;""),E38-D38,"")</f>
        <v/>
      </c>
      <c r="G38" s="8" t="n"/>
    </row>
    <row r="39">
      <c r="A39" s="71" t="n"/>
      <c r="B39" s="8" t="n"/>
      <c r="C39" s="8" t="n"/>
      <c r="D39" s="14" t="n"/>
      <c r="E39" s="14" t="n"/>
      <c r="F39" s="14">
        <f>IF(AND(D39&lt;&gt;"",E39&lt;&gt;""),E39-D39,"")</f>
        <v/>
      </c>
      <c r="G39" s="8" t="n"/>
    </row>
    <row r="40">
      <c r="A40" s="71" t="n"/>
      <c r="B40" s="8" t="n"/>
      <c r="C40" s="8" t="n"/>
      <c r="D40" s="14" t="n"/>
      <c r="E40" s="14" t="n"/>
      <c r="F40" s="14">
        <f>IF(AND(D40&lt;&gt;"",E40&lt;&gt;""),E40-D40,"")</f>
        <v/>
      </c>
      <c r="G40" s="8" t="n"/>
    </row>
    <row r="41">
      <c r="A41" s="71" t="n"/>
      <c r="B41" s="8" t="n"/>
      <c r="C41" s="8" t="n"/>
      <c r="D41" s="14" t="n"/>
      <c r="E41" s="14" t="n"/>
      <c r="F41" s="14">
        <f>IF(AND(D41&lt;&gt;"",E41&lt;&gt;""),E41-D41,"")</f>
        <v/>
      </c>
      <c r="G41" s="8" t="n"/>
    </row>
    <row r="42">
      <c r="A42" s="71" t="n"/>
      <c r="B42" s="8" t="n"/>
      <c r="C42" s="8" t="n"/>
      <c r="D42" s="14" t="n"/>
      <c r="E42" s="14" t="n"/>
      <c r="F42" s="14">
        <f>IF(AND(D42&lt;&gt;"",E42&lt;&gt;""),E42-D42,"")</f>
        <v/>
      </c>
      <c r="G42" s="8" t="n"/>
    </row>
    <row r="43">
      <c r="A43" s="71" t="n"/>
      <c r="B43" s="8" t="n"/>
      <c r="C43" s="8" t="n"/>
      <c r="D43" s="14" t="n"/>
      <c r="E43" s="14" t="n"/>
      <c r="F43" s="14">
        <f>IF(AND(D43&lt;&gt;"",E43&lt;&gt;""),E43-D43,"")</f>
        <v/>
      </c>
      <c r="G43" s="8" t="n"/>
    </row>
    <row r="44">
      <c r="A44" s="71" t="n"/>
      <c r="B44" s="8" t="n"/>
      <c r="C44" s="8" t="n"/>
      <c r="D44" s="14" t="n"/>
      <c r="E44" s="14" t="n"/>
      <c r="F44" s="14">
        <f>IF(AND(D44&lt;&gt;"",E44&lt;&gt;""),E44-D44,"")</f>
        <v/>
      </c>
      <c r="G44" s="8" t="n"/>
    </row>
    <row r="45">
      <c r="A45" s="71" t="n"/>
      <c r="B45" s="8" t="n"/>
      <c r="C45" s="8" t="n"/>
      <c r="D45" s="14" t="n"/>
      <c r="E45" s="14" t="n"/>
      <c r="F45" s="14">
        <f>IF(AND(D45&lt;&gt;"",E45&lt;&gt;""),E45-D45,"")</f>
        <v/>
      </c>
      <c r="G45" s="8" t="n"/>
    </row>
    <row r="46">
      <c r="A46" s="71" t="n"/>
      <c r="B46" s="8" t="n"/>
      <c r="C46" s="8" t="n"/>
      <c r="D46" s="14" t="n"/>
      <c r="E46" s="14" t="n"/>
      <c r="F46" s="14">
        <f>IF(AND(D46&lt;&gt;"",E46&lt;&gt;""),E46-D46,"")</f>
        <v/>
      </c>
      <c r="G46" s="8" t="n"/>
    </row>
    <row r="47">
      <c r="A47" s="71" t="n"/>
      <c r="B47" s="8" t="n"/>
      <c r="C47" s="8" t="n"/>
      <c r="D47" s="14" t="n"/>
      <c r="E47" s="14" t="n"/>
      <c r="F47" s="14">
        <f>IF(AND(D47&lt;&gt;"",E47&lt;&gt;""),E47-D47,"")</f>
        <v/>
      </c>
      <c r="G47" s="8" t="n"/>
    </row>
    <row r="48">
      <c r="A48" s="71" t="n"/>
      <c r="B48" s="8" t="n"/>
      <c r="C48" s="8" t="n"/>
      <c r="D48" s="14" t="n"/>
      <c r="E48" s="14" t="n"/>
      <c r="F48" s="14">
        <f>IF(AND(D48&lt;&gt;"",E48&lt;&gt;""),E48-D48,"")</f>
        <v/>
      </c>
      <c r="G48" s="8" t="n"/>
    </row>
    <row r="49">
      <c r="A49" s="71" t="n"/>
      <c r="B49" s="8" t="n"/>
      <c r="C49" s="8" t="n"/>
      <c r="D49" s="14" t="n"/>
      <c r="E49" s="14" t="n"/>
      <c r="F49" s="14">
        <f>IF(AND(D49&lt;&gt;"",E49&lt;&gt;""),E49-D49,"")</f>
        <v/>
      </c>
      <c r="G49" s="8" t="n"/>
    </row>
    <row r="50">
      <c r="A50" s="71" t="n"/>
      <c r="B50" s="8" t="n"/>
      <c r="C50" s="8" t="n"/>
      <c r="D50" s="14" t="n"/>
      <c r="E50" s="14" t="n"/>
      <c r="F50" s="14">
        <f>IF(AND(D50&lt;&gt;"",E50&lt;&gt;""),E50-D50,"")</f>
        <v/>
      </c>
      <c r="G50" s="8" t="n"/>
    </row>
    <row r="51">
      <c r="A51" s="71" t="n"/>
      <c r="B51" s="8" t="n"/>
      <c r="C51" s="8" t="n"/>
      <c r="D51" s="14" t="n"/>
      <c r="E51" s="14" t="n"/>
      <c r="F51" s="14">
        <f>IF(AND(D51&lt;&gt;"",E51&lt;&gt;""),E51-D51,"")</f>
        <v/>
      </c>
      <c r="G51" s="8" t="n"/>
    </row>
    <row r="52">
      <c r="A52" s="71" t="n"/>
      <c r="B52" s="8" t="n"/>
      <c r="C52" s="8" t="n"/>
      <c r="D52" s="14" t="n"/>
      <c r="E52" s="14" t="n"/>
      <c r="F52" s="14">
        <f>IF(AND(D52&lt;&gt;"",E52&lt;&gt;""),E52-D52,"")</f>
        <v/>
      </c>
      <c r="G52" s="8" t="n"/>
    </row>
    <row r="53">
      <c r="A53" s="71" t="n"/>
      <c r="B53" s="8" t="n"/>
      <c r="C53" s="8" t="n"/>
      <c r="D53" s="14" t="n"/>
      <c r="E53" s="14" t="n"/>
      <c r="F53" s="14">
        <f>IF(AND(D53&lt;&gt;"",E53&lt;&gt;""),E53-D53,"")</f>
        <v/>
      </c>
      <c r="G53" s="8" t="n"/>
    </row>
    <row r="54">
      <c r="A54" s="71" t="n"/>
      <c r="B54" s="8" t="n"/>
      <c r="C54" s="8" t="n"/>
      <c r="D54" s="14" t="n"/>
      <c r="E54" s="14" t="n"/>
      <c r="F54" s="14">
        <f>IF(AND(D54&lt;&gt;"",E54&lt;&gt;""),E54-D54,"")</f>
        <v/>
      </c>
      <c r="G54" s="8" t="n"/>
    </row>
    <row r="55">
      <c r="A55" s="71" t="n"/>
      <c r="B55" s="8" t="n"/>
      <c r="C55" s="8" t="n"/>
      <c r="D55" s="14" t="n"/>
      <c r="E55" s="14" t="n"/>
      <c r="F55" s="14">
        <f>IF(AND(D55&lt;&gt;"",E55&lt;&gt;""),E55-D55,"")</f>
        <v/>
      </c>
      <c r="G55" s="8" t="n"/>
    </row>
    <row r="56">
      <c r="A56" s="71" t="n"/>
      <c r="B56" s="8" t="n"/>
      <c r="C56" s="8" t="n"/>
      <c r="D56" s="14" t="n"/>
      <c r="E56" s="14" t="n"/>
      <c r="F56" s="14">
        <f>IF(AND(D56&lt;&gt;"",E56&lt;&gt;""),E56-D56,"")</f>
        <v/>
      </c>
      <c r="G56" s="8" t="n"/>
    </row>
    <row r="57">
      <c r="A57" s="71" t="n"/>
      <c r="B57" s="8" t="n"/>
      <c r="C57" s="8" t="n"/>
      <c r="D57" s="14" t="n"/>
      <c r="E57" s="14" t="n"/>
      <c r="F57" s="14">
        <f>IF(AND(D57&lt;&gt;"",E57&lt;&gt;""),E57-D57,"")</f>
        <v/>
      </c>
      <c r="G57" s="8" t="n"/>
    </row>
    <row r="58">
      <c r="A58" s="71" t="n"/>
      <c r="B58" s="8" t="n"/>
      <c r="C58" s="8" t="n"/>
      <c r="D58" s="14" t="n"/>
      <c r="E58" s="14" t="n"/>
      <c r="F58" s="14">
        <f>IF(AND(D58&lt;&gt;"",E58&lt;&gt;""),E58-D58,"")</f>
        <v/>
      </c>
      <c r="G58" s="8" t="n"/>
    </row>
    <row r="59">
      <c r="A59" s="71" t="n"/>
      <c r="B59" s="8" t="n"/>
      <c r="C59" s="8" t="n"/>
      <c r="D59" s="14" t="n"/>
      <c r="E59" s="14" t="n"/>
      <c r="F59" s="14">
        <f>IF(AND(D59&lt;&gt;"",E59&lt;&gt;""),E59-D59,"")</f>
        <v/>
      </c>
      <c r="G59" s="8" t="n"/>
    </row>
    <row r="60">
      <c r="A60" s="71" t="n"/>
      <c r="B60" s="8" t="n"/>
      <c r="C60" s="8" t="n"/>
      <c r="D60" s="14" t="n"/>
      <c r="E60" s="14" t="n"/>
      <c r="F60" s="14">
        <f>IF(AND(D60&lt;&gt;"",E60&lt;&gt;""),E60-D60,"")</f>
        <v/>
      </c>
      <c r="G60" s="8" t="n"/>
    </row>
    <row r="61">
      <c r="A61" s="71" t="n"/>
      <c r="B61" s="8" t="n"/>
      <c r="C61" s="8" t="n"/>
      <c r="D61" s="14" t="n"/>
      <c r="E61" s="14" t="n"/>
      <c r="F61" s="14">
        <f>IF(AND(D61&lt;&gt;"",E61&lt;&gt;""),E61-D61,"")</f>
        <v/>
      </c>
      <c r="G61" s="8" t="n"/>
    </row>
    <row r="62">
      <c r="A62" s="71" t="n"/>
      <c r="B62" s="8" t="n"/>
      <c r="C62" s="8" t="n"/>
      <c r="D62" s="14" t="n"/>
      <c r="E62" s="14" t="n"/>
      <c r="F62" s="14">
        <f>IF(AND(D62&lt;&gt;"",E62&lt;&gt;""),E62-D62,"")</f>
        <v/>
      </c>
      <c r="G62" s="8" t="n"/>
    </row>
    <row r="63">
      <c r="A63" s="71" t="n"/>
      <c r="B63" s="8" t="n"/>
      <c r="C63" s="8" t="n"/>
      <c r="D63" s="14" t="n"/>
      <c r="E63" s="14" t="n"/>
      <c r="F63" s="14">
        <f>IF(AND(D63&lt;&gt;"",E63&lt;&gt;""),E63-D63,"")</f>
        <v/>
      </c>
      <c r="G63" s="8" t="n"/>
    </row>
    <row r="64">
      <c r="A64" s="71" t="n"/>
      <c r="B64" s="8" t="n"/>
      <c r="C64" s="8" t="n"/>
      <c r="D64" s="14" t="n"/>
      <c r="E64" s="14" t="n"/>
      <c r="F64" s="14">
        <f>IF(AND(D64&lt;&gt;"",E64&lt;&gt;""),E64-D64,"")</f>
        <v/>
      </c>
      <c r="G64" s="8" t="n"/>
    </row>
    <row r="65">
      <c r="A65" s="71" t="n"/>
      <c r="B65" s="8" t="n"/>
      <c r="C65" s="8" t="n"/>
      <c r="D65" s="14" t="n"/>
      <c r="E65" s="14" t="n"/>
      <c r="F65" s="14">
        <f>IF(AND(D65&lt;&gt;"",E65&lt;&gt;""),E65-D65,"")</f>
        <v/>
      </c>
      <c r="G65" s="8" t="n"/>
    </row>
    <row r="66">
      <c r="A66" s="71" t="n"/>
      <c r="B66" s="8" t="n"/>
      <c r="C66" s="8" t="n"/>
      <c r="D66" s="14" t="n"/>
      <c r="E66" s="14" t="n"/>
      <c r="F66" s="14">
        <f>IF(AND(D66&lt;&gt;"",E66&lt;&gt;""),E66-D66,"")</f>
        <v/>
      </c>
      <c r="G66" s="8" t="n"/>
    </row>
    <row r="67">
      <c r="A67" s="71" t="n"/>
      <c r="B67" s="8" t="n"/>
      <c r="C67" s="8" t="n"/>
      <c r="D67" s="14" t="n"/>
      <c r="E67" s="14" t="n"/>
      <c r="F67" s="14">
        <f>IF(AND(D67&lt;&gt;"",E67&lt;&gt;""),E67-D67,"")</f>
        <v/>
      </c>
      <c r="G67" s="8" t="n"/>
    </row>
    <row r="68">
      <c r="A68" s="71" t="n"/>
      <c r="B68" s="8" t="n"/>
      <c r="C68" s="8" t="n"/>
      <c r="D68" s="14" t="n"/>
      <c r="E68" s="14" t="n"/>
      <c r="F68" s="14">
        <f>IF(AND(D68&lt;&gt;"",E68&lt;&gt;""),E68-D68,"")</f>
        <v/>
      </c>
      <c r="G68" s="8" t="n"/>
    </row>
    <row r="69">
      <c r="A69" s="71" t="n"/>
      <c r="B69" s="8" t="n"/>
      <c r="C69" s="8" t="n"/>
      <c r="D69" s="14" t="n"/>
      <c r="E69" s="14" t="n"/>
      <c r="F69" s="14">
        <f>IF(AND(D69&lt;&gt;"",E69&lt;&gt;""),E69-D69,"")</f>
        <v/>
      </c>
      <c r="G69" s="8" t="n"/>
    </row>
    <row r="70">
      <c r="A70" s="71" t="n"/>
      <c r="B70" s="8" t="n"/>
      <c r="C70" s="8" t="n"/>
      <c r="D70" s="14" t="n"/>
      <c r="E70" s="14" t="n"/>
      <c r="F70" s="14">
        <f>IF(AND(D70&lt;&gt;"",E70&lt;&gt;""),E70-D70,"")</f>
        <v/>
      </c>
      <c r="G70" s="8" t="n"/>
    </row>
    <row r="71">
      <c r="A71" s="71" t="n"/>
      <c r="B71" s="8" t="n"/>
      <c r="C71" s="8" t="n"/>
      <c r="D71" s="14" t="n"/>
      <c r="E71" s="14" t="n"/>
      <c r="F71" s="14">
        <f>IF(AND(D71&lt;&gt;"",E71&lt;&gt;""),E71-D71,"")</f>
        <v/>
      </c>
      <c r="G71" s="8" t="n"/>
    </row>
    <row r="72">
      <c r="A72" s="71" t="n"/>
      <c r="B72" s="8" t="n"/>
      <c r="C72" s="8" t="n"/>
      <c r="D72" s="14" t="n"/>
      <c r="E72" s="14" t="n"/>
      <c r="F72" s="14">
        <f>IF(AND(D72&lt;&gt;"",E72&lt;&gt;""),E72-D72,"")</f>
        <v/>
      </c>
      <c r="G72" s="8" t="n"/>
    </row>
    <row r="73">
      <c r="A73" s="71" t="n"/>
      <c r="B73" s="8" t="n"/>
      <c r="C73" s="8" t="n"/>
      <c r="D73" s="14" t="n"/>
      <c r="E73" s="14" t="n"/>
      <c r="F73" s="14">
        <f>IF(AND(D73&lt;&gt;"",E73&lt;&gt;""),E73-D73,"")</f>
        <v/>
      </c>
      <c r="G73" s="8" t="n"/>
    </row>
    <row r="74">
      <c r="A74" s="71" t="n"/>
      <c r="B74" s="8" t="n"/>
      <c r="C74" s="8" t="n"/>
      <c r="D74" s="14" t="n"/>
      <c r="E74" s="14" t="n"/>
      <c r="F74" s="14">
        <f>IF(AND(D74&lt;&gt;"",E74&lt;&gt;""),E74-D74,"")</f>
        <v/>
      </c>
      <c r="G74" s="8" t="n"/>
    </row>
    <row r="75">
      <c r="A75" s="71" t="n"/>
      <c r="B75" s="8" t="n"/>
      <c r="C75" s="8" t="n"/>
      <c r="D75" s="14" t="n"/>
      <c r="E75" s="14" t="n"/>
      <c r="F75" s="14">
        <f>IF(AND(D75&lt;&gt;"",E75&lt;&gt;""),E75-D75,"")</f>
        <v/>
      </c>
      <c r="G75" s="8" t="n"/>
    </row>
    <row r="76">
      <c r="A76" s="71" t="n"/>
      <c r="B76" s="8" t="n"/>
      <c r="C76" s="8" t="n"/>
      <c r="D76" s="14" t="n"/>
      <c r="E76" s="14" t="n"/>
      <c r="F76" s="14">
        <f>IF(AND(D76&lt;&gt;"",E76&lt;&gt;""),E76-D76,"")</f>
        <v/>
      </c>
      <c r="G76" s="8" t="n"/>
    </row>
    <row r="77">
      <c r="A77" s="71" t="n"/>
      <c r="B77" s="8" t="n"/>
      <c r="C77" s="8" t="n"/>
      <c r="D77" s="14" t="n"/>
      <c r="E77" s="14" t="n"/>
      <c r="F77" s="14">
        <f>IF(AND(D77&lt;&gt;"",E77&lt;&gt;""),E77-D77,"")</f>
        <v/>
      </c>
      <c r="G77" s="8" t="n"/>
    </row>
    <row r="78">
      <c r="A78" s="71" t="n"/>
      <c r="B78" s="8" t="n"/>
      <c r="C78" s="8" t="n"/>
      <c r="D78" s="14" t="n"/>
      <c r="E78" s="14" t="n"/>
      <c r="F78" s="14">
        <f>IF(AND(D78&lt;&gt;"",E78&lt;&gt;""),E78-D78,"")</f>
        <v/>
      </c>
      <c r="G78" s="8" t="n"/>
    </row>
    <row r="79">
      <c r="A79" s="71" t="n"/>
      <c r="B79" s="8" t="n"/>
      <c r="C79" s="8" t="n"/>
      <c r="D79" s="14" t="n"/>
      <c r="E79" s="14" t="n"/>
      <c r="F79" s="14">
        <f>IF(AND(D79&lt;&gt;"",E79&lt;&gt;""),E79-D79,"")</f>
        <v/>
      </c>
      <c r="G79" s="8" t="n"/>
    </row>
    <row r="80">
      <c r="A80" s="71" t="n"/>
      <c r="B80" s="8" t="n"/>
      <c r="C80" s="8" t="n"/>
      <c r="D80" s="14" t="n"/>
      <c r="E80" s="14" t="n"/>
      <c r="F80" s="14">
        <f>IF(AND(D80&lt;&gt;"",E80&lt;&gt;""),E80-D80,"")</f>
        <v/>
      </c>
      <c r="G80" s="8" t="n"/>
    </row>
    <row r="81">
      <c r="A81" s="71" t="n"/>
      <c r="B81" s="8" t="n"/>
      <c r="C81" s="8" t="n"/>
      <c r="D81" s="14" t="n"/>
      <c r="E81" s="14" t="n"/>
      <c r="F81" s="14">
        <f>IF(AND(D81&lt;&gt;"",E81&lt;&gt;""),E81-D81,"")</f>
        <v/>
      </c>
      <c r="G81" s="8" t="n"/>
    </row>
    <row r="82">
      <c r="A82" s="71" t="n"/>
      <c r="B82" s="8" t="n"/>
      <c r="C82" s="8" t="n"/>
      <c r="D82" s="14" t="n"/>
      <c r="E82" s="14" t="n"/>
      <c r="F82" s="14">
        <f>IF(AND(D82&lt;&gt;"",E82&lt;&gt;""),E82-D82,"")</f>
        <v/>
      </c>
      <c r="G82" s="8" t="n"/>
    </row>
    <row r="83">
      <c r="A83" s="71" t="n"/>
      <c r="B83" s="8" t="n"/>
      <c r="C83" s="8" t="n"/>
      <c r="D83" s="14" t="n"/>
      <c r="E83" s="14" t="n"/>
      <c r="F83" s="14">
        <f>IF(AND(D83&lt;&gt;"",E83&lt;&gt;""),E83-D83,"")</f>
        <v/>
      </c>
      <c r="G83" s="8" t="n"/>
    </row>
    <row r="84">
      <c r="A84" s="71" t="n"/>
      <c r="B84" s="8" t="n"/>
      <c r="C84" s="8" t="n"/>
      <c r="D84" s="14" t="n"/>
      <c r="E84" s="14" t="n"/>
      <c r="F84" s="14">
        <f>IF(AND(D84&lt;&gt;"",E84&lt;&gt;""),E84-D84,"")</f>
        <v/>
      </c>
      <c r="G84" s="8" t="n"/>
    </row>
    <row r="85">
      <c r="A85" s="71" t="n"/>
      <c r="B85" s="8" t="n"/>
      <c r="C85" s="8" t="n"/>
      <c r="D85" s="14" t="n"/>
      <c r="E85" s="14" t="n"/>
      <c r="F85" s="14">
        <f>IF(AND(D85&lt;&gt;"",E85&lt;&gt;""),E85-D85,"")</f>
        <v/>
      </c>
      <c r="G85" s="8" t="n"/>
    </row>
    <row r="86">
      <c r="A86" s="71" t="n"/>
      <c r="B86" s="8" t="n"/>
      <c r="C86" s="8" t="n"/>
      <c r="D86" s="14" t="n"/>
      <c r="E86" s="14" t="n"/>
      <c r="F86" s="14">
        <f>IF(AND(D86&lt;&gt;"",E86&lt;&gt;""),E86-D86,"")</f>
        <v/>
      </c>
      <c r="G86" s="8" t="n"/>
    </row>
    <row r="87">
      <c r="A87" s="71" t="n"/>
      <c r="B87" s="8" t="n"/>
      <c r="C87" s="8" t="n"/>
      <c r="D87" s="14" t="n"/>
      <c r="E87" s="14" t="n"/>
      <c r="F87" s="14">
        <f>IF(AND(D87&lt;&gt;"",E87&lt;&gt;""),E87-D87,"")</f>
        <v/>
      </c>
      <c r="G87" s="8" t="n"/>
    </row>
    <row r="88">
      <c r="A88" s="71" t="n"/>
      <c r="B88" s="8" t="n"/>
      <c r="C88" s="8" t="n"/>
      <c r="D88" s="14" t="n"/>
      <c r="E88" s="14" t="n"/>
      <c r="F88" s="14">
        <f>IF(AND(D88&lt;&gt;"",E88&lt;&gt;""),E88-D88,"")</f>
        <v/>
      </c>
      <c r="G88" s="8" t="n"/>
    </row>
    <row r="89">
      <c r="A89" s="71" t="n"/>
      <c r="B89" s="8" t="n"/>
      <c r="C89" s="8" t="n"/>
      <c r="D89" s="14" t="n"/>
      <c r="E89" s="14" t="n"/>
      <c r="F89" s="14">
        <f>IF(AND(D89&lt;&gt;"",E89&lt;&gt;""),E89-D89,"")</f>
        <v/>
      </c>
      <c r="G89" s="8" t="n"/>
    </row>
    <row r="90">
      <c r="A90" s="71" t="n"/>
      <c r="B90" s="8" t="n"/>
      <c r="C90" s="8" t="n"/>
      <c r="D90" s="14" t="n"/>
      <c r="E90" s="14" t="n"/>
      <c r="F90" s="14">
        <f>IF(AND(D90&lt;&gt;"",E90&lt;&gt;""),E90-D90,"")</f>
        <v/>
      </c>
      <c r="G90" s="8" t="n"/>
    </row>
    <row r="91">
      <c r="A91" s="71" t="n"/>
      <c r="B91" s="8" t="n"/>
      <c r="C91" s="8" t="n"/>
      <c r="D91" s="14" t="n"/>
      <c r="E91" s="14" t="n"/>
      <c r="F91" s="14">
        <f>IF(AND(D91&lt;&gt;"",E91&lt;&gt;""),E91-D91,"")</f>
        <v/>
      </c>
      <c r="G91" s="8" t="n"/>
    </row>
    <row r="92">
      <c r="A92" s="71" t="n"/>
      <c r="B92" s="8" t="n"/>
      <c r="C92" s="8" t="n"/>
      <c r="D92" s="14" t="n"/>
      <c r="E92" s="14" t="n"/>
      <c r="F92" s="14">
        <f>IF(AND(D92&lt;&gt;"",E92&lt;&gt;""),E92-D92,"")</f>
        <v/>
      </c>
      <c r="G92" s="8" t="n"/>
    </row>
    <row r="93">
      <c r="A93" s="71" t="n"/>
      <c r="B93" s="8" t="n"/>
      <c r="C93" s="8" t="n"/>
      <c r="D93" s="14" t="n"/>
      <c r="E93" s="14" t="n"/>
      <c r="F93" s="14">
        <f>IF(AND(D93&lt;&gt;"",E93&lt;&gt;""),E93-D93,"")</f>
        <v/>
      </c>
      <c r="G93" s="8" t="n"/>
    </row>
    <row r="94">
      <c r="A94" s="71" t="n"/>
      <c r="B94" s="8" t="n"/>
      <c r="C94" s="8" t="n"/>
      <c r="D94" s="14" t="n"/>
      <c r="E94" s="14" t="n"/>
      <c r="F94" s="14">
        <f>IF(AND(D94&lt;&gt;"",E94&lt;&gt;""),E94-D94,"")</f>
        <v/>
      </c>
      <c r="G94" s="8" t="n"/>
    </row>
    <row r="95">
      <c r="A95" s="71" t="n"/>
      <c r="B95" s="8" t="n"/>
      <c r="C95" s="8" t="n"/>
      <c r="D95" s="14" t="n"/>
      <c r="E95" s="14" t="n"/>
      <c r="F95" s="14">
        <f>IF(AND(D95&lt;&gt;"",E95&lt;&gt;""),E95-D95,"")</f>
        <v/>
      </c>
      <c r="G95" s="8" t="n"/>
    </row>
    <row r="96">
      <c r="A96" s="71" t="n"/>
      <c r="B96" s="8" t="n"/>
      <c r="C96" s="8" t="n"/>
      <c r="D96" s="14" t="n"/>
      <c r="E96" s="14" t="n"/>
      <c r="F96" s="14">
        <f>IF(AND(D96&lt;&gt;"",E96&lt;&gt;""),E96-D96,"")</f>
        <v/>
      </c>
      <c r="G96" s="8" t="n"/>
    </row>
    <row r="97">
      <c r="A97" s="71" t="n"/>
      <c r="B97" s="8" t="n"/>
      <c r="C97" s="8" t="n"/>
      <c r="D97" s="14" t="n"/>
      <c r="E97" s="14" t="n"/>
      <c r="F97" s="14">
        <f>IF(AND(D97&lt;&gt;"",E97&lt;&gt;""),E97-D97,"")</f>
        <v/>
      </c>
      <c r="G97" s="8" t="n"/>
    </row>
    <row r="98">
      <c r="A98" s="71" t="n"/>
      <c r="B98" s="8" t="n"/>
      <c r="C98" s="8" t="n"/>
      <c r="D98" s="14" t="n"/>
      <c r="E98" s="14" t="n"/>
      <c r="F98" s="14">
        <f>IF(AND(D98&lt;&gt;"",E98&lt;&gt;""),E98-D98,"")</f>
        <v/>
      </c>
      <c r="G98" s="8" t="n"/>
    </row>
    <row r="99">
      <c r="A99" s="71" t="n"/>
      <c r="B99" s="8" t="n"/>
      <c r="C99" s="8" t="n"/>
      <c r="D99" s="14" t="n"/>
      <c r="E99" s="14" t="n"/>
      <c r="F99" s="14">
        <f>IF(AND(D99&lt;&gt;"",E99&lt;&gt;""),E99-D99,"")</f>
        <v/>
      </c>
      <c r="G99" s="8" t="n"/>
    </row>
    <row r="100">
      <c r="A100" s="71" t="n"/>
      <c r="B100" s="8" t="n"/>
      <c r="C100" s="8" t="n"/>
      <c r="D100" s="14" t="n"/>
      <c r="E100" s="14" t="n"/>
      <c r="F100" s="14">
        <f>IF(AND(D100&lt;&gt;"",E100&lt;&gt;""),E100-D100,"")</f>
        <v/>
      </c>
      <c r="G100" s="8" t="n"/>
    </row>
    <row r="101">
      <c r="A101" s="71" t="n"/>
      <c r="B101" s="8" t="n"/>
      <c r="C101" s="8" t="n"/>
      <c r="D101" s="14" t="n"/>
      <c r="E101" s="14" t="n"/>
      <c r="F101" s="14">
        <f>IF(AND(D101&lt;&gt;"",E101&lt;&gt;""),E101-D101,"")</f>
        <v/>
      </c>
      <c r="G101" s="8" t="n"/>
    </row>
    <row r="102">
      <c r="A102" s="71" t="n"/>
      <c r="B102" s="8" t="n"/>
      <c r="C102" s="8" t="n"/>
      <c r="D102" s="14" t="n"/>
      <c r="E102" s="14" t="n"/>
      <c r="F102" s="14">
        <f>IF(AND(D102&lt;&gt;"",E102&lt;&gt;""),E102-D102,"")</f>
        <v/>
      </c>
      <c r="G102" s="8" t="n"/>
    </row>
    <row r="103">
      <c r="A103" s="71" t="n"/>
      <c r="B103" s="8" t="n"/>
      <c r="C103" s="8" t="n"/>
      <c r="D103" s="14" t="n"/>
      <c r="E103" s="14" t="n"/>
      <c r="F103" s="14">
        <f>IF(AND(D103&lt;&gt;"",E103&lt;&gt;""),E103-D103,"")</f>
        <v/>
      </c>
      <c r="G103" s="8" t="n"/>
    </row>
    <row r="104">
      <c r="A104" s="71" t="n"/>
      <c r="B104" s="8" t="n"/>
      <c r="C104" s="8" t="n"/>
      <c r="D104" s="14" t="n"/>
      <c r="E104" s="14" t="n"/>
      <c r="F104" s="14">
        <f>IF(AND(D104&lt;&gt;"",E104&lt;&gt;""),E104-D104,"")</f>
        <v/>
      </c>
      <c r="G104" s="8" t="n"/>
    </row>
    <row r="105">
      <c r="A105" s="71" t="n"/>
      <c r="B105" s="8" t="n"/>
      <c r="C105" s="8" t="n"/>
      <c r="D105" s="14" t="n"/>
      <c r="E105" s="14" t="n"/>
      <c r="F105" s="14">
        <f>IF(AND(D105&lt;&gt;"",E105&lt;&gt;""),E105-D105,"")</f>
        <v/>
      </c>
      <c r="G105" s="8" t="n"/>
    </row>
    <row r="106">
      <c r="A106" s="71" t="n"/>
      <c r="B106" s="8" t="n"/>
      <c r="C106" s="8" t="n"/>
      <c r="D106" s="14" t="n"/>
      <c r="E106" s="14" t="n"/>
      <c r="F106" s="14">
        <f>IF(AND(D106&lt;&gt;"",E106&lt;&gt;""),E106-D106,"")</f>
        <v/>
      </c>
      <c r="G106" s="8" t="n"/>
    </row>
    <row r="107">
      <c r="A107" s="71" t="n"/>
      <c r="B107" s="8" t="n"/>
      <c r="C107" s="8" t="n"/>
      <c r="D107" s="14" t="n"/>
      <c r="E107" s="14" t="n"/>
      <c r="F107" s="14">
        <f>IF(AND(D107&lt;&gt;"",E107&lt;&gt;""),E107-D107,"")</f>
        <v/>
      </c>
      <c r="G107" s="8" t="n"/>
    </row>
    <row r="108">
      <c r="A108" s="71" t="n"/>
      <c r="B108" s="8" t="n"/>
      <c r="C108" s="8" t="n"/>
      <c r="D108" s="14" t="n"/>
      <c r="E108" s="14" t="n"/>
      <c r="F108" s="14">
        <f>IF(AND(D108&lt;&gt;"",E108&lt;&gt;""),E108-D108,"")</f>
        <v/>
      </c>
      <c r="G108" s="8" t="n"/>
    </row>
    <row r="109">
      <c r="A109" s="71" t="n"/>
      <c r="B109" s="8" t="n"/>
      <c r="C109" s="8" t="n"/>
      <c r="D109" s="14" t="n"/>
      <c r="E109" s="14" t="n"/>
      <c r="F109" s="14">
        <f>IF(AND(D109&lt;&gt;"",E109&lt;&gt;""),E109-D109,"")</f>
        <v/>
      </c>
      <c r="G109" s="8" t="n"/>
    </row>
    <row r="110">
      <c r="A110" s="71" t="n"/>
      <c r="B110" s="8" t="n"/>
      <c r="C110" s="8" t="n"/>
      <c r="D110" s="14" t="n"/>
      <c r="E110" s="14" t="n"/>
      <c r="F110" s="14">
        <f>IF(AND(D110&lt;&gt;"",E110&lt;&gt;""),E110-D110,"")</f>
        <v/>
      </c>
      <c r="G110" s="8" t="n"/>
    </row>
    <row r="111">
      <c r="A111" s="71" t="n"/>
      <c r="B111" s="8" t="n"/>
      <c r="C111" s="8" t="n"/>
      <c r="D111" s="14" t="n"/>
      <c r="E111" s="14" t="n"/>
      <c r="F111" s="14">
        <f>IF(AND(D111&lt;&gt;"",E111&lt;&gt;""),E111-D111,"")</f>
        <v/>
      </c>
      <c r="G111" s="8" t="n"/>
    </row>
    <row r="112">
      <c r="A112" s="71" t="n"/>
      <c r="B112" s="8" t="n"/>
      <c r="C112" s="8" t="n"/>
      <c r="D112" s="14" t="n"/>
      <c r="E112" s="14" t="n"/>
      <c r="F112" s="14">
        <f>IF(AND(D112&lt;&gt;"",E112&lt;&gt;""),E112-D112,"")</f>
        <v/>
      </c>
      <c r="G112" s="8" t="n"/>
    </row>
    <row r="113">
      <c r="A113" s="71" t="n"/>
      <c r="B113" s="8" t="n"/>
      <c r="C113" s="8" t="n"/>
      <c r="D113" s="14" t="n"/>
      <c r="E113" s="14" t="n"/>
      <c r="F113" s="14">
        <f>IF(AND(D113&lt;&gt;"",E113&lt;&gt;""),E113-D113,"")</f>
        <v/>
      </c>
      <c r="G113" s="8" t="n"/>
    </row>
    <row r="114">
      <c r="A114" s="71" t="n"/>
      <c r="B114" s="8" t="n"/>
      <c r="C114" s="8" t="n"/>
      <c r="D114" s="14" t="n"/>
      <c r="E114" s="14" t="n"/>
      <c r="F114" s="14">
        <f>IF(AND(D114&lt;&gt;"",E114&lt;&gt;""),E114-D114,"")</f>
        <v/>
      </c>
      <c r="G114" s="8" t="n"/>
    </row>
    <row r="115">
      <c r="A115" s="71" t="n"/>
      <c r="B115" s="8" t="n"/>
      <c r="C115" s="8" t="n"/>
      <c r="D115" s="14" t="n"/>
      <c r="E115" s="14" t="n"/>
      <c r="F115" s="14">
        <f>IF(AND(D115&lt;&gt;"",E115&lt;&gt;""),E115-D115,"")</f>
        <v/>
      </c>
      <c r="G115" s="8" t="n"/>
    </row>
    <row r="116">
      <c r="A116" s="71" t="n"/>
      <c r="B116" s="8" t="n"/>
      <c r="C116" s="8" t="n"/>
      <c r="D116" s="14" t="n"/>
      <c r="E116" s="14" t="n"/>
      <c r="F116" s="14">
        <f>IF(AND(D116&lt;&gt;"",E116&lt;&gt;""),E116-D116,"")</f>
        <v/>
      </c>
      <c r="G116" s="8" t="n"/>
    </row>
    <row r="117">
      <c r="A117" s="71" t="n"/>
      <c r="B117" s="8" t="n"/>
      <c r="C117" s="8" t="n"/>
      <c r="D117" s="14" t="n"/>
      <c r="E117" s="14" t="n"/>
      <c r="F117" s="14">
        <f>IF(AND(D117&lt;&gt;"",E117&lt;&gt;""),E117-D117,"")</f>
        <v/>
      </c>
      <c r="G117" s="8" t="n"/>
    </row>
    <row r="118">
      <c r="A118" s="71" t="n"/>
      <c r="B118" s="8" t="n"/>
      <c r="C118" s="8" t="n"/>
      <c r="D118" s="14" t="n"/>
      <c r="E118" s="14" t="n"/>
      <c r="F118" s="14">
        <f>IF(AND(D118&lt;&gt;"",E118&lt;&gt;""),E118-D118,"")</f>
        <v/>
      </c>
      <c r="G118" s="8" t="n"/>
    </row>
    <row r="119">
      <c r="A119" s="71" t="n"/>
      <c r="B119" s="8" t="n"/>
      <c r="C119" s="8" t="n"/>
      <c r="D119" s="14" t="n"/>
      <c r="E119" s="14" t="n"/>
      <c r="F119" s="14">
        <f>IF(AND(D119&lt;&gt;"",E119&lt;&gt;""),E119-D119,"")</f>
        <v/>
      </c>
      <c r="G119" s="8" t="n"/>
    </row>
    <row r="120">
      <c r="A120" s="71" t="n"/>
      <c r="B120" s="8" t="n"/>
      <c r="C120" s="8" t="n"/>
      <c r="D120" s="14" t="n"/>
      <c r="E120" s="14" t="n"/>
      <c r="F120" s="14">
        <f>IF(AND(D120&lt;&gt;"",E120&lt;&gt;""),E120-D120,"")</f>
        <v/>
      </c>
      <c r="G120" s="8" t="n"/>
    </row>
    <row r="121">
      <c r="A121" s="71" t="n"/>
      <c r="B121" s="8" t="n"/>
      <c r="C121" s="8" t="n"/>
      <c r="D121" s="14" t="n"/>
      <c r="E121" s="14" t="n"/>
      <c r="F121" s="14">
        <f>IF(AND(D121&lt;&gt;"",E121&lt;&gt;""),E121-D121,"")</f>
        <v/>
      </c>
      <c r="G121" s="8" t="n"/>
    </row>
    <row r="122">
      <c r="A122" s="71" t="n"/>
      <c r="B122" s="8" t="n"/>
      <c r="C122" s="8" t="n"/>
      <c r="D122" s="14" t="n"/>
      <c r="E122" s="14" t="n"/>
      <c r="F122" s="14">
        <f>IF(AND(D122&lt;&gt;"",E122&lt;&gt;""),E122-D122,"")</f>
        <v/>
      </c>
      <c r="G122" s="8" t="n"/>
    </row>
    <row r="123">
      <c r="A123" s="71" t="n"/>
      <c r="B123" s="8" t="n"/>
      <c r="C123" s="8" t="n"/>
      <c r="D123" s="14" t="n"/>
      <c r="E123" s="14" t="n"/>
      <c r="F123" s="14">
        <f>IF(AND(D123&lt;&gt;"",E123&lt;&gt;""),E123-D123,"")</f>
        <v/>
      </c>
      <c r="G123" s="8" t="n"/>
    </row>
    <row r="124">
      <c r="A124" s="71" t="n"/>
      <c r="B124" s="8" t="n"/>
      <c r="C124" s="8" t="n"/>
      <c r="D124" s="14" t="n"/>
      <c r="E124" s="14" t="n"/>
      <c r="F124" s="14">
        <f>IF(AND(D124&lt;&gt;"",E124&lt;&gt;""),E124-D124,"")</f>
        <v/>
      </c>
      <c r="G124" s="8" t="n"/>
    </row>
    <row r="125">
      <c r="A125" s="71" t="n"/>
      <c r="B125" s="8" t="n"/>
      <c r="C125" s="8" t="n"/>
      <c r="D125" s="14" t="n"/>
      <c r="E125" s="14" t="n"/>
      <c r="F125" s="14">
        <f>IF(AND(D125&lt;&gt;"",E125&lt;&gt;""),E125-D125,"")</f>
        <v/>
      </c>
      <c r="G125" s="8" t="n"/>
    </row>
    <row r="126">
      <c r="A126" s="71" t="n"/>
      <c r="B126" s="8" t="n"/>
      <c r="C126" s="8" t="n"/>
      <c r="D126" s="14" t="n"/>
      <c r="E126" s="14" t="n"/>
      <c r="F126" s="14">
        <f>IF(AND(D126&lt;&gt;"",E126&lt;&gt;""),E126-D126,"")</f>
        <v/>
      </c>
      <c r="G126" s="8" t="n"/>
    </row>
    <row r="127">
      <c r="A127" s="71" t="n"/>
      <c r="B127" s="8" t="n"/>
      <c r="C127" s="8" t="n"/>
      <c r="D127" s="14" t="n"/>
      <c r="E127" s="14" t="n"/>
      <c r="F127" s="14">
        <f>IF(AND(D127&lt;&gt;"",E127&lt;&gt;""),E127-D127,"")</f>
        <v/>
      </c>
      <c r="G127" s="8" t="n"/>
    </row>
    <row r="128">
      <c r="A128" s="71" t="n"/>
      <c r="B128" s="8" t="n"/>
      <c r="C128" s="8" t="n"/>
      <c r="D128" s="14" t="n"/>
      <c r="E128" s="14" t="n"/>
      <c r="F128" s="14">
        <f>IF(AND(D128&lt;&gt;"",E128&lt;&gt;""),E128-D128,"")</f>
        <v/>
      </c>
      <c r="G128" s="8" t="n"/>
    </row>
    <row r="129">
      <c r="A129" s="71" t="n"/>
      <c r="B129" s="8" t="n"/>
      <c r="C129" s="8" t="n"/>
      <c r="D129" s="14" t="n"/>
      <c r="E129" s="14" t="n"/>
      <c r="F129" s="14">
        <f>IF(AND(D129&lt;&gt;"",E129&lt;&gt;""),E129-D129,"")</f>
        <v/>
      </c>
      <c r="G129" s="8" t="n"/>
    </row>
    <row r="130">
      <c r="A130" s="71" t="n"/>
      <c r="B130" s="8" t="n"/>
      <c r="C130" s="8" t="n"/>
      <c r="D130" s="14" t="n"/>
      <c r="E130" s="14" t="n"/>
      <c r="F130" s="14">
        <f>IF(AND(D130&lt;&gt;"",E130&lt;&gt;""),E130-D130,"")</f>
        <v/>
      </c>
      <c r="G130" s="8" t="n"/>
    </row>
    <row r="131">
      <c r="A131" s="71" t="n"/>
      <c r="B131" s="8" t="n"/>
      <c r="C131" s="8" t="n"/>
      <c r="D131" s="14" t="n"/>
      <c r="E131" s="14" t="n"/>
      <c r="F131" s="14">
        <f>IF(AND(D131&lt;&gt;"",E131&lt;&gt;""),E131-D131,"")</f>
        <v/>
      </c>
      <c r="G131" s="8" t="n"/>
    </row>
    <row r="132">
      <c r="A132" s="71" t="n"/>
      <c r="B132" s="8" t="n"/>
      <c r="C132" s="8" t="n"/>
      <c r="D132" s="14" t="n"/>
      <c r="E132" s="14" t="n"/>
      <c r="F132" s="14">
        <f>IF(AND(D132&lt;&gt;"",E132&lt;&gt;""),E132-D132,"")</f>
        <v/>
      </c>
      <c r="G132" s="8" t="n"/>
    </row>
    <row r="133">
      <c r="A133" s="71" t="n"/>
      <c r="B133" s="8" t="n"/>
      <c r="C133" s="8" t="n"/>
      <c r="D133" s="14" t="n"/>
      <c r="E133" s="14" t="n"/>
      <c r="F133" s="14">
        <f>IF(AND(D133&lt;&gt;"",E133&lt;&gt;""),E133-D133,"")</f>
        <v/>
      </c>
      <c r="G133" s="8" t="n"/>
    </row>
    <row r="134">
      <c r="A134" s="71" t="n"/>
      <c r="B134" s="8" t="n"/>
      <c r="C134" s="8" t="n"/>
      <c r="D134" s="14" t="n"/>
      <c r="E134" s="14" t="n"/>
      <c r="F134" s="14">
        <f>IF(AND(D134&lt;&gt;"",E134&lt;&gt;""),E134-D134,"")</f>
        <v/>
      </c>
      <c r="G134" s="8" t="n"/>
    </row>
    <row r="135">
      <c r="A135" s="71" t="n"/>
      <c r="B135" s="8" t="n"/>
      <c r="C135" s="8" t="n"/>
      <c r="D135" s="14" t="n"/>
      <c r="E135" s="14" t="n"/>
      <c r="F135" s="14">
        <f>IF(AND(D135&lt;&gt;"",E135&lt;&gt;""),E135-D135,"")</f>
        <v/>
      </c>
      <c r="G135" s="8" t="n"/>
    </row>
    <row r="136">
      <c r="A136" s="71" t="n"/>
      <c r="B136" s="8" t="n"/>
      <c r="C136" s="8" t="n"/>
      <c r="D136" s="14" t="n"/>
      <c r="E136" s="14" t="n"/>
      <c r="F136" s="14">
        <f>IF(AND(D136&lt;&gt;"",E136&lt;&gt;""),E136-D136,"")</f>
        <v/>
      </c>
      <c r="G136" s="8" t="n"/>
    </row>
    <row r="137">
      <c r="A137" s="71" t="n"/>
      <c r="B137" s="8" t="n"/>
      <c r="C137" s="8" t="n"/>
      <c r="D137" s="14" t="n"/>
      <c r="E137" s="14" t="n"/>
      <c r="F137" s="14">
        <f>IF(AND(D137&lt;&gt;"",E137&lt;&gt;""),E137-D137,"")</f>
        <v/>
      </c>
      <c r="G137" s="8" t="n"/>
    </row>
    <row r="138">
      <c r="A138" s="71" t="n"/>
      <c r="B138" s="8" t="n"/>
      <c r="C138" s="8" t="n"/>
      <c r="D138" s="14" t="n"/>
      <c r="E138" s="14" t="n"/>
      <c r="F138" s="14">
        <f>IF(AND(D138&lt;&gt;"",E138&lt;&gt;""),E138-D138,"")</f>
        <v/>
      </c>
      <c r="G138" s="8" t="n"/>
    </row>
    <row r="139">
      <c r="A139" s="71" t="n"/>
      <c r="B139" s="8" t="n"/>
      <c r="C139" s="8" t="n"/>
      <c r="D139" s="14" t="n"/>
      <c r="E139" s="14" t="n"/>
      <c r="F139" s="14">
        <f>IF(AND(D139&lt;&gt;"",E139&lt;&gt;""),E139-D139,"")</f>
        <v/>
      </c>
      <c r="G139" s="8" t="n"/>
    </row>
    <row r="140">
      <c r="A140" s="71" t="n"/>
      <c r="B140" s="8" t="n"/>
      <c r="C140" s="8" t="n"/>
      <c r="D140" s="14" t="n"/>
      <c r="E140" s="14" t="n"/>
      <c r="F140" s="14">
        <f>IF(AND(D140&lt;&gt;"",E140&lt;&gt;""),E140-D140,"")</f>
        <v/>
      </c>
      <c r="G140" s="8" t="n"/>
    </row>
    <row r="141">
      <c r="A141" s="71" t="n"/>
      <c r="B141" s="8" t="n"/>
      <c r="C141" s="8" t="n"/>
      <c r="D141" s="14" t="n"/>
      <c r="E141" s="14" t="n"/>
      <c r="F141" s="14">
        <f>IF(AND(D141&lt;&gt;"",E141&lt;&gt;""),E141-D141,"")</f>
        <v/>
      </c>
      <c r="G141" s="8" t="n"/>
    </row>
    <row r="142">
      <c r="A142" s="71" t="n"/>
      <c r="B142" s="8" t="n"/>
      <c r="C142" s="8" t="n"/>
      <c r="D142" s="14" t="n"/>
      <c r="E142" s="14" t="n"/>
      <c r="F142" s="14">
        <f>IF(AND(D142&lt;&gt;"",E142&lt;&gt;""),E142-D142,"")</f>
        <v/>
      </c>
      <c r="G142" s="8" t="n"/>
    </row>
    <row r="143">
      <c r="A143" s="71" t="n"/>
      <c r="B143" s="8" t="n"/>
      <c r="C143" s="8" t="n"/>
      <c r="D143" s="14" t="n"/>
      <c r="E143" s="14" t="n"/>
      <c r="F143" s="14">
        <f>IF(AND(D143&lt;&gt;"",E143&lt;&gt;""),E143-D143,"")</f>
        <v/>
      </c>
      <c r="G143" s="8" t="n"/>
    </row>
    <row r="144">
      <c r="A144" s="71" t="n"/>
      <c r="B144" s="8" t="n"/>
      <c r="C144" s="8" t="n"/>
      <c r="D144" s="14" t="n"/>
      <c r="E144" s="14" t="n"/>
      <c r="F144" s="14">
        <f>IF(AND(D144&lt;&gt;"",E144&lt;&gt;""),E144-D144,"")</f>
        <v/>
      </c>
      <c r="G144" s="8" t="n"/>
    </row>
    <row r="145">
      <c r="A145" s="71" t="n"/>
      <c r="B145" s="8" t="n"/>
      <c r="C145" s="8" t="n"/>
      <c r="D145" s="14" t="n"/>
      <c r="E145" s="14" t="n"/>
      <c r="F145" s="14">
        <f>IF(AND(D145&lt;&gt;"",E145&lt;&gt;""),E145-D145,"")</f>
        <v/>
      </c>
      <c r="G145" s="8" t="n"/>
    </row>
    <row r="146">
      <c r="A146" s="71" t="n"/>
      <c r="B146" s="8" t="n"/>
      <c r="C146" s="8" t="n"/>
      <c r="D146" s="14" t="n"/>
      <c r="E146" s="14" t="n"/>
      <c r="F146" s="14">
        <f>IF(AND(D146&lt;&gt;"",E146&lt;&gt;""),E146-D146,"")</f>
        <v/>
      </c>
      <c r="G146" s="8" t="n"/>
    </row>
    <row r="147">
      <c r="A147" s="71" t="n"/>
      <c r="B147" s="8" t="n"/>
      <c r="C147" s="8" t="n"/>
      <c r="D147" s="14" t="n"/>
      <c r="E147" s="14" t="n"/>
      <c r="F147" s="14">
        <f>IF(AND(D147&lt;&gt;"",E147&lt;&gt;""),E147-D147,"")</f>
        <v/>
      </c>
      <c r="G147" s="8" t="n"/>
    </row>
    <row r="148">
      <c r="A148" s="71" t="n"/>
      <c r="B148" s="8" t="n"/>
      <c r="C148" s="8" t="n"/>
      <c r="D148" s="14" t="n"/>
      <c r="E148" s="14" t="n"/>
      <c r="F148" s="14">
        <f>IF(AND(D148&lt;&gt;"",E148&lt;&gt;""),E148-D148,"")</f>
        <v/>
      </c>
      <c r="G148" s="8" t="n"/>
    </row>
    <row r="149">
      <c r="A149" s="71" t="n"/>
      <c r="B149" s="8" t="n"/>
      <c r="C149" s="8" t="n"/>
      <c r="D149" s="14" t="n"/>
      <c r="E149" s="14" t="n"/>
      <c r="F149" s="14">
        <f>IF(AND(D149&lt;&gt;"",E149&lt;&gt;""),E149-D149,"")</f>
        <v/>
      </c>
      <c r="G149" s="8" t="n"/>
    </row>
    <row r="150">
      <c r="A150" s="71" t="n"/>
      <c r="B150" s="8" t="n"/>
      <c r="C150" s="8" t="n"/>
      <c r="D150" s="14" t="n"/>
      <c r="E150" s="14" t="n"/>
      <c r="F150" s="14">
        <f>IF(AND(D150&lt;&gt;"",E150&lt;&gt;""),E150-D150,"")</f>
        <v/>
      </c>
      <c r="G150" s="8" t="n"/>
    </row>
    <row r="151">
      <c r="A151" s="71" t="n"/>
      <c r="B151" s="8" t="n"/>
      <c r="C151" s="8" t="n"/>
      <c r="D151" s="14" t="n"/>
      <c r="E151" s="14" t="n"/>
      <c r="F151" s="14">
        <f>IF(AND(D151&lt;&gt;"",E151&lt;&gt;""),E151-D151,"")</f>
        <v/>
      </c>
      <c r="G151" s="8" t="n"/>
    </row>
    <row r="152">
      <c r="A152" s="71" t="n"/>
      <c r="B152" s="8" t="n"/>
      <c r="C152" s="8" t="n"/>
      <c r="D152" s="14" t="n"/>
      <c r="E152" s="14" t="n"/>
      <c r="F152" s="14">
        <f>IF(AND(D152&lt;&gt;"",E152&lt;&gt;""),E152-D152,"")</f>
        <v/>
      </c>
      <c r="G152" s="8" t="n"/>
    </row>
    <row r="153">
      <c r="A153" s="71" t="n"/>
      <c r="B153" s="8" t="n"/>
      <c r="C153" s="8" t="n"/>
      <c r="D153" s="14" t="n"/>
      <c r="E153" s="14" t="n"/>
      <c r="F153" s="14">
        <f>IF(AND(D153&lt;&gt;"",E153&lt;&gt;""),E153-D153,"")</f>
        <v/>
      </c>
      <c r="G153" s="8" t="n"/>
    </row>
    <row r="154">
      <c r="A154" s="71" t="n"/>
      <c r="B154" s="8" t="n"/>
      <c r="C154" s="8" t="n"/>
      <c r="D154" s="14" t="n"/>
      <c r="E154" s="14" t="n"/>
      <c r="F154" s="14">
        <f>IF(AND(D154&lt;&gt;"",E154&lt;&gt;""),E154-D154,"")</f>
        <v/>
      </c>
      <c r="G154" s="8" t="n"/>
    </row>
    <row r="155">
      <c r="A155" s="71" t="n"/>
      <c r="B155" s="8" t="n"/>
      <c r="C155" s="8" t="n"/>
      <c r="D155" s="14" t="n"/>
      <c r="E155" s="14" t="n"/>
      <c r="F155" s="14">
        <f>IF(AND(D155&lt;&gt;"",E155&lt;&gt;""),E155-D155,"")</f>
        <v/>
      </c>
      <c r="G155" s="8" t="n"/>
    </row>
    <row r="156">
      <c r="A156" s="71" t="n"/>
      <c r="B156" s="8" t="n"/>
      <c r="C156" s="8" t="n"/>
      <c r="D156" s="14" t="n"/>
      <c r="E156" s="14" t="n"/>
      <c r="F156" s="14">
        <f>IF(AND(D156&lt;&gt;"",E156&lt;&gt;""),E156-D156,"")</f>
        <v/>
      </c>
      <c r="G156" s="8" t="n"/>
    </row>
    <row r="157">
      <c r="A157" s="71" t="n"/>
      <c r="B157" s="8" t="n"/>
      <c r="C157" s="8" t="n"/>
      <c r="D157" s="14" t="n"/>
      <c r="E157" s="14" t="n"/>
      <c r="F157" s="14">
        <f>IF(AND(D157&lt;&gt;"",E157&lt;&gt;""),E157-D157,"")</f>
        <v/>
      </c>
      <c r="G157" s="8" t="n"/>
    </row>
    <row r="158">
      <c r="A158" s="71" t="n"/>
      <c r="B158" s="8" t="n"/>
      <c r="C158" s="8" t="n"/>
      <c r="D158" s="14" t="n"/>
      <c r="E158" s="14" t="n"/>
      <c r="F158" s="14">
        <f>IF(AND(D158&lt;&gt;"",E158&lt;&gt;""),E158-D158,"")</f>
        <v/>
      </c>
      <c r="G158" s="8" t="n"/>
    </row>
    <row r="159">
      <c r="A159" s="71" t="n"/>
      <c r="B159" s="8" t="n"/>
      <c r="C159" s="8" t="n"/>
      <c r="D159" s="14" t="n"/>
      <c r="E159" s="14" t="n"/>
      <c r="F159" s="14">
        <f>IF(AND(D159&lt;&gt;"",E159&lt;&gt;""),E159-D159,"")</f>
        <v/>
      </c>
      <c r="G159" s="8" t="n"/>
    </row>
    <row r="160">
      <c r="A160" s="71" t="n"/>
      <c r="B160" s="8" t="n"/>
      <c r="C160" s="8" t="n"/>
      <c r="D160" s="14" t="n"/>
      <c r="E160" s="14" t="n"/>
      <c r="F160" s="14">
        <f>IF(AND(D160&lt;&gt;"",E160&lt;&gt;""),E160-D160,"")</f>
        <v/>
      </c>
      <c r="G160" s="8" t="n"/>
    </row>
    <row r="161">
      <c r="A161" s="71" t="n"/>
      <c r="B161" s="8" t="n"/>
      <c r="C161" s="8" t="n"/>
      <c r="D161" s="14" t="n"/>
      <c r="E161" s="14" t="n"/>
      <c r="F161" s="14">
        <f>IF(AND(D161&lt;&gt;"",E161&lt;&gt;""),E161-D161,"")</f>
        <v/>
      </c>
      <c r="G161" s="8" t="n"/>
    </row>
    <row r="162">
      <c r="A162" s="71" t="n"/>
      <c r="B162" s="8" t="n"/>
      <c r="C162" s="8" t="n"/>
      <c r="D162" s="14" t="n"/>
      <c r="E162" s="14" t="n"/>
      <c r="F162" s="14">
        <f>IF(AND(D162&lt;&gt;"",E162&lt;&gt;""),E162-D162,"")</f>
        <v/>
      </c>
      <c r="G162" s="8" t="n"/>
    </row>
    <row r="163">
      <c r="A163" s="71" t="n"/>
      <c r="B163" s="8" t="n"/>
      <c r="C163" s="8" t="n"/>
      <c r="D163" s="14" t="n"/>
      <c r="E163" s="14" t="n"/>
      <c r="F163" s="14">
        <f>IF(AND(D163&lt;&gt;"",E163&lt;&gt;""),E163-D163,"")</f>
        <v/>
      </c>
      <c r="G163" s="8" t="n"/>
    </row>
    <row r="164">
      <c r="A164" s="71" t="n"/>
      <c r="B164" s="8" t="n"/>
      <c r="C164" s="8" t="n"/>
      <c r="D164" s="14" t="n"/>
      <c r="E164" s="14" t="n"/>
      <c r="F164" s="14">
        <f>IF(AND(D164&lt;&gt;"",E164&lt;&gt;""),E164-D164,"")</f>
        <v/>
      </c>
      <c r="G164" s="8" t="n"/>
    </row>
    <row r="165">
      <c r="A165" s="71" t="n"/>
      <c r="B165" s="8" t="n"/>
      <c r="C165" s="8" t="n"/>
      <c r="D165" s="14" t="n"/>
      <c r="E165" s="14" t="n"/>
      <c r="F165" s="14">
        <f>IF(AND(D165&lt;&gt;"",E165&lt;&gt;""),E165-D165,"")</f>
        <v/>
      </c>
      <c r="G165" s="8" t="n"/>
    </row>
    <row r="166">
      <c r="A166" s="71" t="n"/>
      <c r="B166" s="8" t="n"/>
      <c r="C166" s="8" t="n"/>
      <c r="D166" s="14" t="n"/>
      <c r="E166" s="14" t="n"/>
      <c r="F166" s="14">
        <f>IF(AND(D166&lt;&gt;"",E166&lt;&gt;""),E166-D166,"")</f>
        <v/>
      </c>
      <c r="G166" s="8" t="n"/>
    </row>
    <row r="167">
      <c r="A167" s="71" t="n"/>
      <c r="B167" s="8" t="n"/>
      <c r="C167" s="8" t="n"/>
      <c r="D167" s="14" t="n"/>
      <c r="E167" s="14" t="n"/>
      <c r="F167" s="14">
        <f>IF(AND(D167&lt;&gt;"",E167&lt;&gt;""),E167-D167,"")</f>
        <v/>
      </c>
      <c r="G167" s="8" t="n"/>
    </row>
    <row r="168">
      <c r="A168" s="71" t="n"/>
      <c r="B168" s="8" t="n"/>
      <c r="C168" s="8" t="n"/>
      <c r="D168" s="14" t="n"/>
      <c r="E168" s="14" t="n"/>
      <c r="F168" s="14">
        <f>IF(AND(D168&lt;&gt;"",E168&lt;&gt;""),E168-D168,"")</f>
        <v/>
      </c>
      <c r="G168" s="8" t="n"/>
    </row>
    <row r="169">
      <c r="A169" s="71" t="n"/>
      <c r="B169" s="8" t="n"/>
      <c r="C169" s="8" t="n"/>
      <c r="D169" s="14" t="n"/>
      <c r="E169" s="14" t="n"/>
      <c r="F169" s="14">
        <f>IF(AND(D169&lt;&gt;"",E169&lt;&gt;""),E169-D169,"")</f>
        <v/>
      </c>
      <c r="G169" s="8" t="n"/>
    </row>
    <row r="170">
      <c r="A170" s="71" t="n"/>
      <c r="B170" s="8" t="n"/>
      <c r="C170" s="8" t="n"/>
      <c r="D170" s="14" t="n"/>
      <c r="E170" s="14" t="n"/>
      <c r="F170" s="14">
        <f>IF(AND(D170&lt;&gt;"",E170&lt;&gt;""),E170-D170,"")</f>
        <v/>
      </c>
      <c r="G170" s="8" t="n"/>
    </row>
    <row r="171">
      <c r="A171" s="71" t="n"/>
      <c r="B171" s="8" t="n"/>
      <c r="C171" s="8" t="n"/>
      <c r="D171" s="14" t="n"/>
      <c r="E171" s="14" t="n"/>
      <c r="F171" s="14">
        <f>IF(AND(D171&lt;&gt;"",E171&lt;&gt;""),E171-D171,"")</f>
        <v/>
      </c>
      <c r="G171" s="8" t="n"/>
    </row>
    <row r="172">
      <c r="A172" s="71" t="n"/>
      <c r="B172" s="8" t="n"/>
      <c r="C172" s="8" t="n"/>
      <c r="D172" s="14" t="n"/>
      <c r="E172" s="14" t="n"/>
      <c r="F172" s="14">
        <f>IF(AND(D172&lt;&gt;"",E172&lt;&gt;""),E172-D172,"")</f>
        <v/>
      </c>
      <c r="G172" s="8" t="n"/>
    </row>
    <row r="173">
      <c r="A173" s="71" t="n"/>
      <c r="B173" s="8" t="n"/>
      <c r="C173" s="8" t="n"/>
      <c r="D173" s="14" t="n"/>
      <c r="E173" s="14" t="n"/>
      <c r="F173" s="14">
        <f>IF(AND(D173&lt;&gt;"",E173&lt;&gt;""),E173-D173,"")</f>
        <v/>
      </c>
      <c r="G173" s="8" t="n"/>
    </row>
    <row r="174">
      <c r="A174" s="71" t="n"/>
      <c r="B174" s="8" t="n"/>
      <c r="C174" s="8" t="n"/>
      <c r="D174" s="14" t="n"/>
      <c r="E174" s="14" t="n"/>
      <c r="F174" s="14">
        <f>IF(AND(D174&lt;&gt;"",E174&lt;&gt;""),E174-D174,"")</f>
        <v/>
      </c>
      <c r="G174" s="8" t="n"/>
    </row>
    <row r="175">
      <c r="A175" s="71" t="n"/>
      <c r="B175" s="8" t="n"/>
      <c r="C175" s="8" t="n"/>
      <c r="D175" s="14" t="n"/>
      <c r="E175" s="14" t="n"/>
      <c r="F175" s="14">
        <f>IF(AND(D175&lt;&gt;"",E175&lt;&gt;""),E175-D175,"")</f>
        <v/>
      </c>
      <c r="G175" s="8" t="n"/>
    </row>
    <row r="176">
      <c r="A176" s="71" t="n"/>
      <c r="B176" s="8" t="n"/>
      <c r="C176" s="8" t="n"/>
      <c r="D176" s="14" t="n"/>
      <c r="E176" s="14" t="n"/>
      <c r="F176" s="14">
        <f>IF(AND(D176&lt;&gt;"",E176&lt;&gt;""),E176-D176,"")</f>
        <v/>
      </c>
      <c r="G176" s="8" t="n"/>
    </row>
    <row r="177">
      <c r="A177" s="71" t="n"/>
      <c r="B177" s="8" t="n"/>
      <c r="C177" s="8" t="n"/>
      <c r="D177" s="14" t="n"/>
      <c r="E177" s="14" t="n"/>
      <c r="F177" s="14">
        <f>IF(AND(D177&lt;&gt;"",E177&lt;&gt;""),E177-D177,"")</f>
        <v/>
      </c>
      <c r="G177" s="8" t="n"/>
    </row>
    <row r="178">
      <c r="A178" s="71" t="n"/>
      <c r="B178" s="8" t="n"/>
      <c r="C178" s="8" t="n"/>
      <c r="D178" s="14" t="n"/>
      <c r="E178" s="14" t="n"/>
      <c r="F178" s="14">
        <f>IF(AND(D178&lt;&gt;"",E178&lt;&gt;""),E178-D178,"")</f>
        <v/>
      </c>
      <c r="G178" s="8" t="n"/>
    </row>
    <row r="179">
      <c r="A179" s="71" t="n"/>
      <c r="B179" s="8" t="n"/>
      <c r="C179" s="8" t="n"/>
      <c r="D179" s="14" t="n"/>
      <c r="E179" s="14" t="n"/>
      <c r="F179" s="14">
        <f>IF(AND(D179&lt;&gt;"",E179&lt;&gt;""),E179-D179,"")</f>
        <v/>
      </c>
      <c r="G179" s="8" t="n"/>
    </row>
    <row r="180">
      <c r="A180" s="71" t="n"/>
      <c r="B180" s="8" t="n"/>
      <c r="C180" s="8" t="n"/>
      <c r="D180" s="14" t="n"/>
      <c r="E180" s="14" t="n"/>
      <c r="F180" s="14">
        <f>IF(AND(D180&lt;&gt;"",E180&lt;&gt;""),E180-D180,"")</f>
        <v/>
      </c>
      <c r="G180" s="8" t="n"/>
    </row>
    <row r="181">
      <c r="A181" s="71" t="n"/>
      <c r="B181" s="8" t="n"/>
      <c r="C181" s="8" t="n"/>
      <c r="D181" s="14" t="n"/>
      <c r="E181" s="14" t="n"/>
      <c r="F181" s="14">
        <f>IF(AND(D181&lt;&gt;"",E181&lt;&gt;""),E181-D181,"")</f>
        <v/>
      </c>
      <c r="G181" s="8" t="n"/>
    </row>
    <row r="182">
      <c r="A182" s="71" t="n"/>
      <c r="B182" s="8" t="n"/>
      <c r="C182" s="8" t="n"/>
      <c r="D182" s="14" t="n"/>
      <c r="E182" s="14" t="n"/>
      <c r="F182" s="14">
        <f>IF(AND(D182&lt;&gt;"",E182&lt;&gt;""),E182-D182,"")</f>
        <v/>
      </c>
      <c r="G182" s="8" t="n"/>
    </row>
    <row r="183">
      <c r="A183" s="71" t="n"/>
      <c r="B183" s="8" t="n"/>
      <c r="C183" s="8" t="n"/>
      <c r="D183" s="14" t="n"/>
      <c r="E183" s="14" t="n"/>
      <c r="F183" s="14">
        <f>IF(AND(D183&lt;&gt;"",E183&lt;&gt;""),E183-D183,"")</f>
        <v/>
      </c>
      <c r="G183" s="8" t="n"/>
    </row>
    <row r="184">
      <c r="A184" s="71" t="n"/>
      <c r="B184" s="8" t="n"/>
      <c r="C184" s="8" t="n"/>
      <c r="D184" s="14" t="n"/>
      <c r="E184" s="14" t="n"/>
      <c r="F184" s="14">
        <f>IF(AND(D184&lt;&gt;"",E184&lt;&gt;""),E184-D184,"")</f>
        <v/>
      </c>
      <c r="G184" s="8" t="n"/>
    </row>
    <row r="185">
      <c r="A185" s="71" t="n"/>
      <c r="B185" s="8" t="n"/>
      <c r="C185" s="8" t="n"/>
      <c r="D185" s="14" t="n"/>
      <c r="E185" s="14" t="n"/>
      <c r="F185" s="14">
        <f>IF(AND(D185&lt;&gt;"",E185&lt;&gt;""),E185-D185,"")</f>
        <v/>
      </c>
      <c r="G185" s="8" t="n"/>
    </row>
    <row r="186">
      <c r="A186" s="71" t="n"/>
      <c r="B186" s="8" t="n"/>
      <c r="C186" s="8" t="n"/>
      <c r="D186" s="14" t="n"/>
      <c r="E186" s="14" t="n"/>
      <c r="F186" s="14">
        <f>IF(AND(D186&lt;&gt;"",E186&lt;&gt;""),E186-D186,"")</f>
        <v/>
      </c>
      <c r="G186" s="8" t="n"/>
    </row>
    <row r="187">
      <c r="A187" s="71" t="n"/>
      <c r="B187" s="8" t="n"/>
      <c r="C187" s="8" t="n"/>
      <c r="D187" s="14" t="n"/>
      <c r="E187" s="14" t="n"/>
      <c r="F187" s="14">
        <f>IF(AND(D187&lt;&gt;"",E187&lt;&gt;""),E187-D187,"")</f>
        <v/>
      </c>
      <c r="G187" s="8" t="n"/>
    </row>
    <row r="188">
      <c r="A188" s="71" t="n"/>
      <c r="B188" s="8" t="n"/>
      <c r="C188" s="8" t="n"/>
      <c r="D188" s="14" t="n"/>
      <c r="E188" s="14" t="n"/>
      <c r="F188" s="14">
        <f>IF(AND(D188&lt;&gt;"",E188&lt;&gt;""),E188-D188,"")</f>
        <v/>
      </c>
      <c r="G188" s="8" t="n"/>
    </row>
    <row r="189">
      <c r="A189" s="71" t="n"/>
      <c r="B189" s="8" t="n"/>
      <c r="C189" s="8" t="n"/>
      <c r="D189" s="14" t="n"/>
      <c r="E189" s="14" t="n"/>
      <c r="F189" s="14">
        <f>IF(AND(D189&lt;&gt;"",E189&lt;&gt;""),E189-D189,"")</f>
        <v/>
      </c>
      <c r="G189" s="8" t="n"/>
    </row>
    <row r="190">
      <c r="A190" s="71" t="n"/>
      <c r="B190" s="8" t="n"/>
      <c r="C190" s="8" t="n"/>
      <c r="D190" s="14" t="n"/>
      <c r="E190" s="14" t="n"/>
      <c r="F190" s="14">
        <f>IF(AND(D190&lt;&gt;"",E190&lt;&gt;""),E190-D190,"")</f>
        <v/>
      </c>
      <c r="G190" s="8" t="n"/>
    </row>
    <row r="191">
      <c r="A191" s="71" t="n"/>
      <c r="B191" s="8" t="n"/>
      <c r="C191" s="8" t="n"/>
      <c r="D191" s="14" t="n"/>
      <c r="E191" s="14" t="n"/>
      <c r="F191" s="14">
        <f>IF(AND(D191&lt;&gt;"",E191&lt;&gt;""),E191-D191,"")</f>
        <v/>
      </c>
      <c r="G191" s="8" t="n"/>
    </row>
    <row r="192">
      <c r="A192" s="71" t="n"/>
      <c r="B192" s="8" t="n"/>
      <c r="C192" s="8" t="n"/>
      <c r="D192" s="14" t="n"/>
      <c r="E192" s="14" t="n"/>
      <c r="F192" s="14">
        <f>IF(AND(D192&lt;&gt;"",E192&lt;&gt;""),E192-D192,"")</f>
        <v/>
      </c>
      <c r="G192" s="8" t="n"/>
    </row>
    <row r="193">
      <c r="A193" s="71" t="n"/>
      <c r="B193" s="8" t="n"/>
      <c r="C193" s="8" t="n"/>
      <c r="D193" s="14" t="n"/>
      <c r="E193" s="14" t="n"/>
      <c r="F193" s="14">
        <f>IF(AND(D193&lt;&gt;"",E193&lt;&gt;""),E193-D193,"")</f>
        <v/>
      </c>
      <c r="G193" s="8" t="n"/>
    </row>
    <row r="194">
      <c r="A194" s="71" t="n"/>
      <c r="B194" s="8" t="n"/>
      <c r="C194" s="8" t="n"/>
      <c r="D194" s="14" t="n"/>
      <c r="E194" s="14" t="n"/>
      <c r="F194" s="14">
        <f>IF(AND(D194&lt;&gt;"",E194&lt;&gt;""),E194-D194,"")</f>
        <v/>
      </c>
      <c r="G194" s="8" t="n"/>
    </row>
    <row r="195">
      <c r="A195" s="71" t="n"/>
      <c r="B195" s="8" t="n"/>
      <c r="C195" s="8" t="n"/>
      <c r="D195" s="14" t="n"/>
      <c r="E195" s="14" t="n"/>
      <c r="F195" s="14">
        <f>IF(AND(D195&lt;&gt;"",E195&lt;&gt;""),E195-D195,"")</f>
        <v/>
      </c>
      <c r="G195" s="8" t="n"/>
    </row>
    <row r="196">
      <c r="A196" s="71" t="n"/>
      <c r="B196" s="8" t="n"/>
      <c r="C196" s="8" t="n"/>
      <c r="D196" s="14" t="n"/>
      <c r="E196" s="14" t="n"/>
      <c r="F196" s="14">
        <f>IF(AND(D196&lt;&gt;"",E196&lt;&gt;""),E196-D196,"")</f>
        <v/>
      </c>
      <c r="G196" s="8" t="n"/>
    </row>
    <row r="197">
      <c r="A197" s="71" t="n"/>
      <c r="B197" s="8" t="n"/>
      <c r="C197" s="8" t="n"/>
      <c r="D197" s="14" t="n"/>
      <c r="E197" s="14" t="n"/>
      <c r="F197" s="14">
        <f>IF(AND(D197&lt;&gt;"",E197&lt;&gt;""),E197-D197,"")</f>
        <v/>
      </c>
      <c r="G197" s="8" t="n"/>
    </row>
    <row r="198">
      <c r="A198" s="71" t="n"/>
      <c r="B198" s="8" t="n"/>
      <c r="C198" s="8" t="n"/>
      <c r="D198" s="14" t="n"/>
      <c r="E198" s="14" t="n"/>
      <c r="F198" s="14">
        <f>IF(AND(D198&lt;&gt;"",E198&lt;&gt;""),E198-D198,"")</f>
        <v/>
      </c>
      <c r="G198" s="8" t="n"/>
    </row>
    <row r="199">
      <c r="A199" s="71" t="n"/>
      <c r="B199" s="8" t="n"/>
      <c r="C199" s="8" t="n"/>
      <c r="D199" s="14" t="n"/>
      <c r="E199" s="14" t="n"/>
      <c r="F199" s="14">
        <f>IF(AND(D199&lt;&gt;"",E199&lt;&gt;""),E199-D199,"")</f>
        <v/>
      </c>
      <c r="G199" s="8" t="n"/>
    </row>
    <row r="200">
      <c r="A200" s="71" t="n"/>
      <c r="B200" s="8" t="n"/>
      <c r="C200" s="8" t="n"/>
      <c r="D200" s="14" t="n"/>
      <c r="E200" s="14" t="n"/>
      <c r="F200" s="14">
        <f>IF(AND(D200&lt;&gt;"",E200&lt;&gt;""),E200-D200,"")</f>
        <v/>
      </c>
      <c r="G200" s="8" t="n"/>
    </row>
    <row r="201">
      <c r="A201" s="71" t="n"/>
      <c r="B201" s="8" t="n"/>
      <c r="C201" s="8" t="n"/>
      <c r="D201" s="14" t="n"/>
      <c r="E201" s="14" t="n"/>
      <c r="F201" s="14">
        <f>IF(AND(D201&lt;&gt;"",E201&lt;&gt;""),E201-D201,"")</f>
        <v/>
      </c>
      <c r="G201" s="8" t="n"/>
    </row>
    <row r="202">
      <c r="A202" s="71" t="n"/>
      <c r="B202" s="8" t="n"/>
      <c r="C202" s="8" t="n"/>
      <c r="D202" s="14" t="n"/>
      <c r="E202" s="14" t="n"/>
      <c r="F202" s="14">
        <f>IF(AND(D202&lt;&gt;"",E202&lt;&gt;""),E202-D202,"")</f>
        <v/>
      </c>
      <c r="G202" s="8" t="n"/>
    </row>
  </sheetData>
  <mergeCells count="1">
    <mergeCell ref="A1:G1"/>
  </mergeCells>
  <dataValidations count="1">
    <dataValidation sqref="C3:C202" showDropDown="0" showInputMessage="0" showErrorMessage="0" allowBlank="1" type="list">
      <formula1>"Stocks,Mutual Fund,Crypto,Gold,Property,Vehicle,Other"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5" customWidth="1" min="5" max="5"/>
    <col width="16" customWidth="1" min="7" max="7"/>
    <col width="14" customWidth="1" min="8" max="8"/>
  </cols>
  <sheetData>
    <row r="1" ht="35" customHeight="1">
      <c r="A1" s="70" t="inlineStr">
        <is>
          <t>MONTHLY BUDGET PLANNER</t>
        </is>
      </c>
    </row>
    <row r="2">
      <c r="A2" s="4" t="inlineStr">
        <is>
          <t>Category</t>
        </is>
      </c>
      <c r="B2" s="4" t="inlineStr">
        <is>
          <t>Budget Limit</t>
        </is>
      </c>
      <c r="C2" s="4" t="inlineStr">
        <is>
          <t>Actual Spent</t>
        </is>
      </c>
      <c r="D2" s="4" t="inlineStr">
        <is>
          <t>Remaining</t>
        </is>
      </c>
      <c r="E2" s="4" t="inlineStr">
        <is>
          <t>Status</t>
        </is>
      </c>
      <c r="G2" s="73" t="inlineStr">
        <is>
          <t>Budget Month:</t>
        </is>
      </c>
      <c r="H2" s="74" t="inlineStr">
        <is>
          <t>2026-01</t>
        </is>
      </c>
    </row>
    <row r="3">
      <c r="A3" s="8" t="inlineStr">
        <is>
          <t>Food &amp; Groceries</t>
        </is>
      </c>
      <c r="B3" s="14" t="n">
        <v>500000</v>
      </c>
      <c r="C3" s="14">
        <f>SUMPRODUCT((EXACT(Transactions!C3:C1002,A3))*(EXACT(Transactions!G3:G1002,$H$2))*(Transactions!E3:E1002))</f>
        <v/>
      </c>
      <c r="D3" s="14">
        <f>IF(B3&lt;&gt;"",B3-C3,"")</f>
        <v/>
      </c>
      <c r="E3" s="8">
        <f>IF(B3&lt;&gt;"",IF(C3&gt;B3,"OVER BUDGET",IF(C3&gt;B3*0.8,"WARNING","OK")),"")</f>
        <v/>
      </c>
    </row>
    <row r="4">
      <c r="A4" s="8" t="inlineStr">
        <is>
          <t>Transportation</t>
        </is>
      </c>
      <c r="B4" s="14" t="n">
        <v>200000</v>
      </c>
      <c r="C4" s="14">
        <f>SUMPRODUCT((EXACT(Transactions!C3:C1002,A4))*(EXACT(Transactions!G3:G1002,$H$2))*(Transactions!E3:E1002))</f>
        <v/>
      </c>
      <c r="D4" s="14">
        <f>IF(B4&lt;&gt;"",B4-C4,"")</f>
        <v/>
      </c>
      <c r="E4" s="8">
        <f>IF(B4&lt;&gt;"",IF(C4&gt;B4,"OVER BUDGET",IF(C4&gt;B4*0.8,"WARNING","OK")),"")</f>
        <v/>
      </c>
    </row>
    <row r="5">
      <c r="A5" s="8" t="inlineStr">
        <is>
          <t>Housing</t>
        </is>
      </c>
      <c r="B5" s="14" t="n">
        <v>1500000</v>
      </c>
      <c r="C5" s="14">
        <f>SUMPRODUCT((EXACT(Transactions!C3:C1002,A5))*(EXACT(Transactions!G3:G1002,$H$2))*(Transactions!E3:E1002))</f>
        <v/>
      </c>
      <c r="D5" s="14">
        <f>IF(B5&lt;&gt;"",B5-C5,"")</f>
        <v/>
      </c>
      <c r="E5" s="8">
        <f>IF(B5&lt;&gt;"",IF(C5&gt;B5,"OVER BUDGET",IF(C5&gt;B5*0.8,"WARNING","OK")),"")</f>
        <v/>
      </c>
    </row>
    <row r="6">
      <c r="A6" s="8" t="inlineStr">
        <is>
          <t>Entertainment</t>
        </is>
      </c>
      <c r="B6" s="14" t="n">
        <v>200000</v>
      </c>
      <c r="C6" s="14">
        <f>SUMPRODUCT((EXACT(Transactions!C3:C1002,A6))*(EXACT(Transactions!G3:G1002,$H$2))*(Transactions!E3:E1002))</f>
        <v/>
      </c>
      <c r="D6" s="14">
        <f>IF(B6&lt;&gt;"",B6-C6,"")</f>
        <v/>
      </c>
      <c r="E6" s="8">
        <f>IF(B6&lt;&gt;"",IF(C6&gt;B6,"OVER BUDGET",IF(C6&gt;B6*0.8,"WARNING","OK")),"")</f>
        <v/>
      </c>
    </row>
    <row r="7">
      <c r="A7" s="8" t="inlineStr">
        <is>
          <t>Healthcare</t>
        </is>
      </c>
      <c r="B7" s="14" t="n">
        <v>300000</v>
      </c>
      <c r="C7" s="14">
        <f>SUMPRODUCT((EXACT(Transactions!C3:C1002,A7))*(EXACT(Transactions!G3:G1002,$H$2))*(Transactions!E3:E1002))</f>
        <v/>
      </c>
      <c r="D7" s="14">
        <f>IF(B7&lt;&gt;"",B7-C7,"")</f>
        <v/>
      </c>
      <c r="E7" s="8">
        <f>IF(B7&lt;&gt;"",IF(C7&gt;B7,"OVER BUDGET",IF(C7&gt;B7*0.8,"WARNING","OK")),"")</f>
        <v/>
      </c>
    </row>
    <row r="8">
      <c r="A8" s="8" t="inlineStr">
        <is>
          <t>Education</t>
        </is>
      </c>
      <c r="B8" s="14" t="n">
        <v>200000</v>
      </c>
      <c r="C8" s="14">
        <f>SUMPRODUCT((EXACT(Transactions!C3:C1002,A8))*(EXACT(Transactions!G3:G1002,$H$2))*(Transactions!E3:E1002))</f>
        <v/>
      </c>
      <c r="D8" s="14">
        <f>IF(B8&lt;&gt;"",B8-C8,"")</f>
        <v/>
      </c>
      <c r="E8" s="8">
        <f>IF(B8&lt;&gt;"",IF(C8&gt;B8,"OVER BUDGET",IF(C8&gt;B8*0.8,"WARNING","OK")),"")</f>
        <v/>
      </c>
    </row>
    <row r="9">
      <c r="A9" s="8" t="inlineStr">
        <is>
          <t>Shopping</t>
        </is>
      </c>
      <c r="B9" s="14" t="n">
        <v>300000</v>
      </c>
      <c r="C9" s="14">
        <f>SUMPRODUCT((EXACT(Transactions!C3:C1002,A9))*(EXACT(Transactions!G3:G1002,$H$2))*(Transactions!E3:E1002))</f>
        <v/>
      </c>
      <c r="D9" s="14">
        <f>IF(B9&lt;&gt;"",B9-C9,"")</f>
        <v/>
      </c>
      <c r="E9" s="8">
        <f>IF(B9&lt;&gt;"",IF(C9&gt;B9,"OVER BUDGET",IF(C9&gt;B9*0.8,"WARNING","OK")),"")</f>
        <v/>
      </c>
    </row>
    <row r="10">
      <c r="A10" s="8" t="inlineStr">
        <is>
          <t>Bills &amp; Utilities</t>
        </is>
      </c>
      <c r="B10" s="14" t="n">
        <v>500000</v>
      </c>
      <c r="C10" s="14">
        <f>SUMPRODUCT((EXACT(Transactions!C3:C1002,A10))*(EXACT(Transactions!G3:G1002,$H$2))*(Transactions!E3:E1002))</f>
        <v/>
      </c>
      <c r="D10" s="14">
        <f>IF(B10&lt;&gt;"",B10-C10,"")</f>
        <v/>
      </c>
      <c r="E10" s="8">
        <f>IF(B10&lt;&gt;"",IF(C10&gt;B10,"OVER BUDGET",IF(C10&gt;B10*0.8,"WARNING","OK")),"")</f>
        <v/>
      </c>
    </row>
    <row r="11">
      <c r="A11" s="21" t="inlineStr">
        <is>
          <t>TOTAL</t>
        </is>
      </c>
      <c r="B11" s="22">
        <f>SUM(B3:B10)</f>
        <v/>
      </c>
      <c r="C11" s="22">
        <f>SUM(C3:C10)</f>
        <v/>
      </c>
      <c r="D11" s="22">
        <f>B11-C11</f>
        <v/>
      </c>
      <c r="E11" s="25" t="n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04040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45" customWidth="1" min="3" max="3"/>
  </cols>
  <sheetData>
    <row r="1" ht="35" customHeight="1">
      <c r="A1" s="70" t="inlineStr">
        <is>
          <t>KONFIGURASI KEUANGAN INDONESIA</t>
        </is>
      </c>
    </row>
    <row r="2">
      <c r="A2" s="4" t="inlineStr">
        <is>
          <t>Parameter</t>
        </is>
      </c>
      <c r="B2" s="4" t="inlineStr">
        <is>
          <t>Nilai</t>
        </is>
      </c>
      <c r="C2" s="4" t="inlineStr">
        <is>
          <t>Keterangan</t>
        </is>
      </c>
    </row>
    <row r="3">
      <c r="A3" s="17" t="inlineStr">
        <is>
          <t>PTKP TK/0 (single)</t>
        </is>
      </c>
      <c r="B3" s="75" t="n">
        <v>54000000</v>
      </c>
      <c r="C3" s="76" t="inlineStr">
        <is>
          <t>Penghasilan Tidak Kena Pajak - Lajang</t>
        </is>
      </c>
    </row>
    <row r="4">
      <c r="A4" s="19" t="inlineStr">
        <is>
          <t>PTKP K/0 (married)</t>
        </is>
      </c>
      <c r="B4" s="77" t="n">
        <v>58500000</v>
      </c>
      <c r="C4" s="34" t="inlineStr">
        <is>
          <t>Penghasilan Tidak Kena Pajak - Menikah</t>
        </is>
      </c>
    </row>
    <row r="5">
      <c r="A5" s="17" t="inlineStr">
        <is>
          <t>PTKP K/1</t>
        </is>
      </c>
      <c r="B5" s="75" t="n">
        <v>63000000</v>
      </c>
      <c r="C5" s="76" t="inlineStr">
        <is>
          <t>Menikah + 1 tanggungan</t>
        </is>
      </c>
    </row>
    <row r="6">
      <c r="A6" s="19" t="inlineStr">
        <is>
          <t>PTKP K/2</t>
        </is>
      </c>
      <c r="B6" s="77" t="n">
        <v>67500000</v>
      </c>
      <c r="C6" s="34" t="inlineStr">
        <is>
          <t>Menikah + 2 tanggungan</t>
        </is>
      </c>
    </row>
    <row r="7">
      <c r="A7" s="17" t="inlineStr">
        <is>
          <t>PTKP K/3</t>
        </is>
      </c>
      <c r="B7" s="75" t="n">
        <v>72000000</v>
      </c>
      <c r="C7" s="76" t="inlineStr">
        <is>
          <t>Menikah + 3 tanggungan</t>
        </is>
      </c>
    </row>
    <row r="8">
      <c r="A8" s="19" t="inlineStr">
        <is>
          <t>Nisab Zakat Mal (Rp)</t>
        </is>
      </c>
      <c r="B8" s="77" t="n">
        <v>85000000</v>
      </c>
      <c r="C8" s="34" t="inlineStr">
        <is>
          <t>~85 gram emas x harga emas terkini. Update manual.</t>
        </is>
      </c>
    </row>
    <row r="9">
      <c r="A9" s="17" t="inlineStr">
        <is>
          <t>Tarif Zakat</t>
        </is>
      </c>
      <c r="B9" s="78" t="n">
        <v>0.025</v>
      </c>
      <c r="C9" s="76" t="inlineStr">
        <is>
          <t>2.5% dari harta di atas nisab</t>
        </is>
      </c>
    </row>
    <row r="10">
      <c r="A10" s="19" t="inlineStr">
        <is>
          <t>Inflasi Target (BI)</t>
        </is>
      </c>
      <c r="B10" s="79" t="n">
        <v>0.035</v>
      </c>
      <c r="C10" s="34" t="inlineStr">
        <is>
          <t>Target Bank Indonesia 2.5% +/- 1%</t>
        </is>
      </c>
    </row>
    <row r="11">
      <c r="A11" s="17" t="inlineStr">
        <is>
          <t>BI Rate</t>
        </is>
      </c>
      <c r="B11" s="78" t="n">
        <v>0.0575</v>
      </c>
      <c r="C11" s="76" t="inlineStr">
        <is>
          <t>Suku bunga acuan Bank Indonesia</t>
        </is>
      </c>
    </row>
    <row r="12">
      <c r="A12" s="19" t="inlineStr">
        <is>
          <t>Pajak Deposito</t>
        </is>
      </c>
      <c r="B12" s="79" t="n">
        <v>0.2</v>
      </c>
      <c r="C12" s="34" t="inlineStr">
        <is>
          <t>PPh final atas bunga deposito</t>
        </is>
      </c>
    </row>
    <row r="13">
      <c r="A13" s="17" t="inlineStr">
        <is>
          <t>Pajak SBN Ritel</t>
        </is>
      </c>
      <c r="B13" s="78" t="n">
        <v>0.1</v>
      </c>
      <c r="C13" s="76" t="inlineStr">
        <is>
          <t>PPh final atas kupon SBN</t>
        </is>
      </c>
    </row>
    <row r="14">
      <c r="A14" s="19" t="inlineStr">
        <is>
          <t>Pajak Reksadana</t>
        </is>
      </c>
      <c r="B14" s="77" t="n">
        <v>0</v>
      </c>
      <c r="C14" s="34" t="inlineStr">
        <is>
          <t>Bebas pajak untuk individu</t>
        </is>
      </c>
    </row>
    <row r="15">
      <c r="A15" s="17" t="inlineStr">
        <is>
          <t>Pajak Jual Saham</t>
        </is>
      </c>
      <c r="B15" s="78" t="n">
        <v>0.001</v>
      </c>
      <c r="C15" s="76" t="inlineStr">
        <is>
          <t>0.1% final atas nilai jual</t>
        </is>
      </c>
    </row>
    <row r="16">
      <c r="A16" s="19" t="inlineStr">
        <is>
          <t>Debt-to-Income Max (BI)</t>
        </is>
      </c>
      <c r="B16" s="79" t="n">
        <v>0.3</v>
      </c>
      <c r="C16" s="34" t="inlineStr">
        <is>
          <t>Batas rasio utang Bank Indonesia</t>
        </is>
      </c>
    </row>
    <row r="17">
      <c r="A17" s="17" t="inlineStr">
        <is>
          <t>BPJS JHT (karyawan)</t>
        </is>
      </c>
      <c r="B17" s="78" t="n">
        <v>0.02</v>
      </c>
      <c r="C17" s="76" t="inlineStr">
        <is>
          <t>2% dari gaji karyawan</t>
        </is>
      </c>
    </row>
    <row r="18">
      <c r="A18" s="19" t="inlineStr">
        <is>
          <t>BPJS JP (karyawan)</t>
        </is>
      </c>
      <c r="B18" s="79" t="n">
        <v>0.01</v>
      </c>
      <c r="C18" s="34" t="inlineStr">
        <is>
          <t>1% dari gaji karyawan</t>
        </is>
      </c>
    </row>
    <row r="19">
      <c r="A19" s="17" t="inlineStr">
        <is>
          <t>BPJS Kesehatan Kelas 1</t>
        </is>
      </c>
      <c r="B19" s="75" t="n">
        <v>150000</v>
      </c>
      <c r="C19" s="76" t="inlineStr">
        <is>
          <t>Per bulan per orang</t>
        </is>
      </c>
    </row>
    <row r="20">
      <c r="A20" s="19" t="inlineStr">
        <is>
          <t>UMP Jakarta 2026</t>
        </is>
      </c>
      <c r="B20" s="77" t="n">
        <v>5500000</v>
      </c>
      <c r="C20" s="34" t="inlineStr">
        <is>
          <t>Upah Minimum Provinsi DKI Jakarta (est)</t>
        </is>
      </c>
    </row>
    <row r="22" ht="40" customHeight="1">
      <c r="A22" s="80" t="inlineStr">
        <is>
          <t>Catatan: Nilai di atas bisa di-update sesuai kondisi terkini. Nisab zakat perlu disesuaikan dengan harga emas terbaru. PTKP dan PPh mengikuti UU HPP.</t>
        </is>
      </c>
    </row>
  </sheetData>
  <mergeCells count="2">
    <mergeCell ref="A1:C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2026-03-19T07:35:06Z</dcterms:created>
  <dcterms:modified xmlns:dcterms="http://purl.org/dc/terms/" xmlns:xsi="http://www.w3.org/2001/XMLSchema-instance" xsi:type="dcterms:W3CDTF">2026-03-19T07:35:06Z</dcterms:modified>
</cp:coreProperties>
</file>